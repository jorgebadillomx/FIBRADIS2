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5"/>
    <sheet state="visible" name="COMPRAS" sheetId="2" r:id="rId6"/>
    <sheet state="visible" name="DIVIDENDOS" sheetId="3" r:id="rId7"/>
    <sheet state="visible" name="SEGMENTOS" sheetId="4" r:id="rId8"/>
    <sheet state="visible" name="FIBRATC14" sheetId="5" r:id="rId9"/>
    <sheet state="visible" name="FIBRATC14_DIV" sheetId="6" r:id="rId10"/>
    <sheet state="visible" name="FUNO11" sheetId="7" r:id="rId11"/>
    <sheet state="visible" name="FUNO11_DIV" sheetId="8" r:id="rId12"/>
    <sheet state="visible" name="FMTY14" sheetId="9" r:id="rId13"/>
    <sheet state="visible" name="FIBRAMQ12" sheetId="10" r:id="rId14"/>
    <sheet state="visible" name="FIBRAMQ12_DIV" sheetId="11" r:id="rId15"/>
    <sheet state="visible" name="DANHOS13" sheetId="12" r:id="rId16"/>
    <sheet state="visible" name="DANHOS13_DIV" sheetId="13" r:id="rId17"/>
    <sheet state="visible" name="FIBRAUP18" sheetId="14" r:id="rId18"/>
    <sheet state="visible" name="FNOVA17" sheetId="15" r:id="rId19"/>
    <sheet state="visible" name="FNOVA17_DIV" sheetId="16" r:id="rId20"/>
    <sheet state="visible" name="FPLUS16" sheetId="17" r:id="rId21"/>
    <sheet state="visible" name="FMTY14_DIV" sheetId="18" r:id="rId22"/>
    <sheet state="visible" name="FIBRAPL14" sheetId="19" r:id="rId23"/>
    <sheet state="visible" name="TERRA13" sheetId="20" r:id="rId24"/>
    <sheet state="visible" name="FIHO12" sheetId="21" r:id="rId25"/>
    <sheet state="visible" name="FIHO12_DIV" sheetId="22" r:id="rId26"/>
    <sheet state="visible" name="FINN13" sheetId="23" r:id="rId27"/>
    <sheet state="visible" name="FINN13_DIV" sheetId="24" r:id="rId28"/>
    <sheet state="visible" name="EDUCA18" sheetId="25" r:id="rId29"/>
    <sheet state="visible" name="EDUCA18_DIV" sheetId="26" r:id="rId30"/>
    <sheet state="visible" name="FSHOP13" sheetId="27" r:id="rId31"/>
    <sheet state="visible" name="FSHOP13_DIV" sheetId="28" r:id="rId32"/>
    <sheet state="visible" name="FCFE18" sheetId="29" r:id="rId33"/>
    <sheet state="visible" name="FCFE18_DIV" sheetId="30" r:id="rId34"/>
    <sheet state="visible" name="SOMA21" sheetId="31" r:id="rId35"/>
    <sheet state="visible" name="STORAGE18" sheetId="32" r:id="rId36"/>
    <sheet state="visible" name="FSITES20" sheetId="33" r:id="rId37"/>
    <sheet state="visible" name="FSITES20_DIV" sheetId="34" r:id="rId38"/>
    <sheet state="visible" name="FHIPO14" sheetId="35" r:id="rId39"/>
    <sheet state="visible" name="FHIPO14_DIV" sheetId="36" r:id="rId40"/>
    <sheet state="visible" name="FVIA16" sheetId="37" r:id="rId41"/>
    <sheet state="visible" name="FVIA16_DIV" sheetId="38" r:id="rId42"/>
    <sheet state="visible" name="FIDEAL20 " sheetId="39" r:id="rId43"/>
    <sheet state="visible" name="FEXI21" sheetId="40" r:id="rId44"/>
    <sheet state="visible" name="FSOCIAL23" sheetId="41" r:id="rId45"/>
    <sheet state="visible" name="FMX23" sheetId="42" r:id="rId46"/>
    <sheet state="visible" name="AGRO22" sheetId="43" r:id="rId47"/>
  </sheets>
  <definedNames/>
  <calcPr/>
</workbook>
</file>

<file path=xl/sharedStrings.xml><?xml version="1.0" encoding="utf-8"?>
<sst xmlns="http://schemas.openxmlformats.org/spreadsheetml/2006/main" count="2004" uniqueCount="852">
  <si>
    <t>INVERSIÓN PORTAFOLIO</t>
  </si>
  <si>
    <t>PLUSVALÍA (%)</t>
  </si>
  <si>
    <t>DIVIDENDO ANUAL BRUTO</t>
  </si>
  <si>
    <t>RENTAS ANUALES BRUTAS</t>
  </si>
  <si>
    <t>RENTAS REALES BRUTAS</t>
  </si>
  <si>
    <t>% RENTAS PORTAFOLIO BRUTAS</t>
  </si>
  <si>
    <t>VALOR PORTAFOLIO</t>
  </si>
  <si>
    <t>GANANCIA ($)</t>
  </si>
  <si>
    <t>DIVIDENDO ANUAL NETO</t>
  </si>
  <si>
    <t>RENTAS ANUALES NETAS</t>
  </si>
  <si>
    <t>RENTAS REALES NETAS</t>
  </si>
  <si>
    <t xml:space="preserve">% RENTAS  </t>
  </si>
  <si>
    <t>CLAVE</t>
  </si>
  <si>
    <t>FIBRA</t>
  </si>
  <si>
    <t>Última información</t>
  </si>
  <si>
    <t>% Portafolio</t>
  </si>
  <si>
    <t>INFORMACIÓN BURSÁTIL</t>
  </si>
  <si>
    <t>INFORMACIÓN FUNDAMENTAL</t>
  </si>
  <si>
    <t>RENTABILIDAD</t>
  </si>
  <si>
    <t>Número de Títulos</t>
  </si>
  <si>
    <t>Costo promedio</t>
  </si>
  <si>
    <t>Precio de Mercado</t>
  </si>
  <si>
    <t>AVG Precio de Mercado 52S</t>
  </si>
  <si>
    <t>Cambio vs dia anterior (%)</t>
  </si>
  <si>
    <t>Volumen</t>
  </si>
  <si>
    <t>Costo Total Promedio</t>
  </si>
  <si>
    <t>Costo Total Compra</t>
  </si>
  <si>
    <t>Valor de Mercado</t>
  </si>
  <si>
    <t>Cap Rate Implícito</t>
  </si>
  <si>
    <t>AVG Cap Rate Implícito</t>
  </si>
  <si>
    <t>NAV por CBFI</t>
  </si>
  <si>
    <t>AVG NAV por CBFI</t>
  </si>
  <si>
    <t>Distribución Trimestral por CBFI</t>
  </si>
  <si>
    <t>AVG Distribución Trimestral por CBFI</t>
  </si>
  <si>
    <t>Distribución Anual por CBFI</t>
  </si>
  <si>
    <t>AGV Distribución Anual por CBFI</t>
  </si>
  <si>
    <t>Loan To Value</t>
  </si>
  <si>
    <t>AVG Loan To Value</t>
  </si>
  <si>
    <t>Margen NOI</t>
  </si>
  <si>
    <t>AVG Margen NOI</t>
  </si>
  <si>
    <t>Margen FFO</t>
  </si>
  <si>
    <t>AVG Margen FFO</t>
  </si>
  <si>
    <t>Portafolio Plusvalía (%)</t>
  </si>
  <si>
    <t>AVG Plusvalía (%)</t>
  </si>
  <si>
    <t>Portafolio Ganancia ($)</t>
  </si>
  <si>
    <t>AVG Ganancia ($)</t>
  </si>
  <si>
    <t>NAV vs Precio Mercado</t>
  </si>
  <si>
    <t>Dividend Yield Calculado</t>
  </si>
  <si>
    <t>AVG Dividend Yield Calculado</t>
  </si>
  <si>
    <t>Dividend Yield Decretado</t>
  </si>
  <si>
    <t>AVG Dividend Yield Decretado</t>
  </si>
  <si>
    <t>AVG Dividend Yield</t>
  </si>
  <si>
    <t>Renta Trimestral</t>
  </si>
  <si>
    <t>AVG Renta Trimestral</t>
  </si>
  <si>
    <t>Renta Anual</t>
  </si>
  <si>
    <t>AVG Renta Anual</t>
  </si>
  <si>
    <t>Dividendo Ponderado Bruto</t>
  </si>
  <si>
    <t>FHIPO14</t>
  </si>
  <si>
    <t>FIBRA HIPOTECARIA</t>
  </si>
  <si>
    <t>FCFE18</t>
  </si>
  <si>
    <t>FIBRA CFE</t>
  </si>
  <si>
    <t>FIBRA DAHNOS</t>
  </si>
  <si>
    <t>FIBRA UNO</t>
  </si>
  <si>
    <t>FIBRA MONTEREY</t>
  </si>
  <si>
    <t>FNOVA17</t>
  </si>
  <si>
    <t>FIBRA NOVA</t>
  </si>
  <si>
    <t>FIBRA MACQUARIE</t>
  </si>
  <si>
    <t>FIBRAUP18</t>
  </si>
  <si>
    <t>FIBRA UPSITE</t>
  </si>
  <si>
    <t>FVIA16</t>
  </si>
  <si>
    <t>FIBRA VIA</t>
  </si>
  <si>
    <t>FSHOP13</t>
  </si>
  <si>
    <t>FIBRA SHOP</t>
  </si>
  <si>
    <t>FINN13</t>
  </si>
  <si>
    <t>FIBRA INN</t>
  </si>
  <si>
    <t>FPLUS16</t>
  </si>
  <si>
    <t>FIBRA PLUS</t>
  </si>
  <si>
    <t>FIBRAPL14</t>
  </si>
  <si>
    <t>FIBRA PROLOGIS</t>
  </si>
  <si>
    <t>TERRA13</t>
  </si>
  <si>
    <t>FIBRA TERRAFINA</t>
  </si>
  <si>
    <t>FIHO12</t>
  </si>
  <si>
    <t>FIBRA HOTEL</t>
  </si>
  <si>
    <t>EDUCA18</t>
  </si>
  <si>
    <t>FIBRA EDUCA</t>
  </si>
  <si>
    <t>SOMA21</t>
  </si>
  <si>
    <t>FIBRA SOMA</t>
  </si>
  <si>
    <t>STORAGE18</t>
  </si>
  <si>
    <t>FIBRA STORAGE</t>
  </si>
  <si>
    <t>FSITES20</t>
  </si>
  <si>
    <t>FIBRA TELESITES</t>
  </si>
  <si>
    <t xml:space="preserve">FIDEAL20 </t>
  </si>
  <si>
    <t>FIBRA IDEAL</t>
  </si>
  <si>
    <t>FEXI21</t>
  </si>
  <si>
    <t>FIBRA EXI</t>
  </si>
  <si>
    <t>FSOCIAL23</t>
  </si>
  <si>
    <t>FIBRA SOCIAL</t>
  </si>
  <si>
    <t>?</t>
  </si>
  <si>
    <t>FMX23</t>
  </si>
  <si>
    <t>FIBRA eMX</t>
  </si>
  <si>
    <t>AGRO22</t>
  </si>
  <si>
    <t>FIBRA AGRO</t>
  </si>
  <si>
    <t>FIBRATC14</t>
  </si>
  <si>
    <t>ETF FIBRA TC</t>
  </si>
  <si>
    <t>Cantidad</t>
  </si>
  <si>
    <t>Costo Promedio</t>
  </si>
  <si>
    <t>Valor Compra</t>
  </si>
  <si>
    <t>Fecha de compra</t>
  </si>
  <si>
    <t>Costo Real</t>
  </si>
  <si>
    <t>Costo de Venta</t>
  </si>
  <si>
    <t>Inversion a simular</t>
  </si>
  <si>
    <t>Clave</t>
  </si>
  <si>
    <t>% De Compra</t>
  </si>
  <si>
    <t>CBFIs Adicionales</t>
  </si>
  <si>
    <t>Sobrantes</t>
  </si>
  <si>
    <t>Renta Brutal Trimestral Adicional</t>
  </si>
  <si>
    <t>AVG Renta Brutal Trimestral Adicional</t>
  </si>
  <si>
    <t>Renta Bruta Mensual Adicional</t>
  </si>
  <si>
    <t>AVG Renta Bruta Mensual Adiciona</t>
  </si>
  <si>
    <t>Renta Bruta Anual Adicional</t>
  </si>
  <si>
    <t>AVG Renta Bruta Anual Adiciona</t>
  </si>
  <si>
    <t>Ganancia Anual</t>
  </si>
  <si>
    <t>FUNO11</t>
  </si>
  <si>
    <t>FMTY14</t>
  </si>
  <si>
    <t>FIBRAMQ12</t>
  </si>
  <si>
    <t>DANHOS13</t>
  </si>
  <si>
    <t>Dividendo por CBFI</t>
  </si>
  <si>
    <t>Pago bruto</t>
  </si>
  <si>
    <t>Pago neto</t>
  </si>
  <si>
    <t>Fecha de pago</t>
  </si>
  <si>
    <t>Trimestre</t>
  </si>
  <si>
    <t>Concepto de pago</t>
  </si>
  <si>
    <t>Resultado Fiscal</t>
  </si>
  <si>
    <t>Reembolso de Capital</t>
  </si>
  <si>
    <t>Portafolio</t>
  </si>
  <si>
    <t>Fibra</t>
  </si>
  <si>
    <t>Participación</t>
  </si>
  <si>
    <t>Industrial</t>
  </si>
  <si>
    <t>Comercial</t>
  </si>
  <si>
    <t>Oficinas</t>
  </si>
  <si>
    <t>Agro</t>
  </si>
  <si>
    <t>Escuelas</t>
  </si>
  <si>
    <t>Hoteles</t>
  </si>
  <si>
    <t>Vivienda</t>
  </si>
  <si>
    <t>Carreteras</t>
  </si>
  <si>
    <t>Auto Almacenaje</t>
  </si>
  <si>
    <t>Hipotecas</t>
  </si>
  <si>
    <t>Energía</t>
  </si>
  <si>
    <t>Penitenciaria</t>
  </si>
  <si>
    <t>2023 Q1</t>
  </si>
  <si>
    <t>2022 Q4</t>
  </si>
  <si>
    <t>2022 Q3</t>
  </si>
  <si>
    <t>2022 Q2</t>
  </si>
  <si>
    <t>2022 Q1</t>
  </si>
  <si>
    <t> Dividendos decretados por CBFI</t>
  </si>
  <si>
    <t>Importe</t>
  </si>
  <si>
    <t>10 de abril de 2023</t>
  </si>
  <si>
    <t>MXN $0.013681</t>
  </si>
  <si>
    <t>15 de marzo de 2023</t>
  </si>
  <si>
    <t>MXN $0.031746</t>
  </si>
  <si>
    <t>10 de marzo de 2023</t>
  </si>
  <si>
    <t>MXN $0.172035</t>
  </si>
  <si>
    <t>8 de marzo de 2023</t>
  </si>
  <si>
    <t>MXN $0.063574</t>
  </si>
  <si>
    <t>3 de marzo de 2023</t>
  </si>
  <si>
    <t>MXN $0.04401</t>
  </si>
  <si>
    <t>1 de marzo de 2023</t>
  </si>
  <si>
    <t>MXN $0.051636</t>
  </si>
  <si>
    <t>15 de febrero de 2023</t>
  </si>
  <si>
    <t>MXN $0.205899</t>
  </si>
  <si>
    <t>30 de enero de 2023</t>
  </si>
  <si>
    <t>MXN $0.080577</t>
  </si>
  <si>
    <t>11 de enero de 2023</t>
  </si>
  <si>
    <t>MXN $0.019391</t>
  </si>
  <si>
    <t>11 de noviembre de 2022</t>
  </si>
  <si>
    <t>MXN $0.05108</t>
  </si>
  <si>
    <t>9 de noviembre de 2022</t>
  </si>
  <si>
    <t>MXN $0.20458</t>
  </si>
  <si>
    <t>28 de octubre de 2022</t>
  </si>
  <si>
    <t>MXN $0.0376</t>
  </si>
  <si>
    <t>28 de septiembre de 2022</t>
  </si>
  <si>
    <t>MXN $0.0666</t>
  </si>
  <si>
    <t>11 de agosto de 2022</t>
  </si>
  <si>
    <t>MXN $0.0687</t>
  </si>
  <si>
    <t>9 de agosto de 2022</t>
  </si>
  <si>
    <t>MXN $0.17937</t>
  </si>
  <si>
    <t>29 de julio de 2022</t>
  </si>
  <si>
    <t>MXN $0.0483</t>
  </si>
  <si>
    <t>23 de junio de 2022</t>
  </si>
  <si>
    <t>MXN $0.052</t>
  </si>
  <si>
    <t>31 de mayo de 2022</t>
  </si>
  <si>
    <t>MXN $0.0066</t>
  </si>
  <si>
    <t>12 de mayo de 2022</t>
  </si>
  <si>
    <t>MXN $0.0513</t>
  </si>
  <si>
    <t>10 de mayo de 2022</t>
  </si>
  <si>
    <t>MXN $0.18025</t>
  </si>
  <si>
    <t>29 de abril de 2022</t>
  </si>
  <si>
    <t>MXN $0.05324</t>
  </si>
  <si>
    <t>11 de marzo de 2022</t>
  </si>
  <si>
    <t>MXN $0.1033</t>
  </si>
  <si>
    <t>9 de marzo de 2022</t>
  </si>
  <si>
    <t>MXN $0.07652</t>
  </si>
  <si>
    <t>15 de febrero de 2022</t>
  </si>
  <si>
    <t>MXN $0.14715</t>
  </si>
  <si>
    <t>2 de febrero de 2022</t>
  </si>
  <si>
    <t>MXN $0.1074</t>
  </si>
  <si>
    <t>18 de noviembre de 2021</t>
  </si>
  <si>
    <t>MXN $0.0624</t>
  </si>
  <si>
    <t>11 de noviembre de 2021</t>
  </si>
  <si>
    <t>MXN $0.1342</t>
  </si>
  <si>
    <t>29 de octubre de 2021</t>
  </si>
  <si>
    <t>30 de septiembre de 2021</t>
  </si>
  <si>
    <t>MXN $0.06688</t>
  </si>
  <si>
    <t>9 de agosto de 2021</t>
  </si>
  <si>
    <t>MXN $0.12434</t>
  </si>
  <si>
    <t>6 de agosto de 2021</t>
  </si>
  <si>
    <t>MXN $0.066578</t>
  </si>
  <si>
    <t>30 de julio de 2021</t>
  </si>
  <si>
    <t>MXN $0.04177</t>
  </si>
  <si>
    <t>16 de junio de 2021</t>
  </si>
  <si>
    <t>MXN $0.052065</t>
  </si>
  <si>
    <t>14 de mayo de 2021</t>
  </si>
  <si>
    <t>MXN $0.092978</t>
  </si>
  <si>
    <t>10 de mayo de 2021</t>
  </si>
  <si>
    <t>MXN $0.11584</t>
  </si>
  <si>
    <t>6 de mayo de 2021</t>
  </si>
  <si>
    <t>MXN $0.03558</t>
  </si>
  <si>
    <t>19 de marzo de 2021</t>
  </si>
  <si>
    <t>MXN $0.215421</t>
  </si>
  <si>
    <t>11 de febrero de 2021</t>
  </si>
  <si>
    <t>MXN $0.0949</t>
  </si>
  <si>
    <t>29 de enero de 2021</t>
  </si>
  <si>
    <t>MXN $0.05255</t>
  </si>
  <si>
    <t>5 de enero de 2021</t>
  </si>
  <si>
    <t>MXN $0.00305</t>
  </si>
  <si>
    <t>11 de diciembre de 2020</t>
  </si>
  <si>
    <t>MXN $0.003746</t>
  </si>
  <si>
    <t>18 de noviembre de 2020</t>
  </si>
  <si>
    <t>MXN $0.04732</t>
  </si>
  <si>
    <t>11 de noviembre de 2020</t>
  </si>
  <si>
    <t>MXN $0.06038</t>
  </si>
  <si>
    <t>9 de noviembre de 2020</t>
  </si>
  <si>
    <t>MXN $0.09738</t>
  </si>
  <si>
    <t>4 de noviembre de 2020</t>
  </si>
  <si>
    <t>MXN $0.02766</t>
  </si>
  <si>
    <t>6 de octubre de 2020</t>
  </si>
  <si>
    <t>MXN $0.00491</t>
  </si>
  <si>
    <t>25 de septiembre de 2020</t>
  </si>
  <si>
    <t>MXN $0.053254</t>
  </si>
  <si>
    <t>14 de agosto de 2020</t>
  </si>
  <si>
    <t>MXN $0.0564</t>
  </si>
  <si>
    <t>10 de agosto de 2020</t>
  </si>
  <si>
    <t>MXN $0.093906</t>
  </si>
  <si>
    <t>29 de julio de 2020</t>
  </si>
  <si>
    <t>MXN $0.03109</t>
  </si>
  <si>
    <t>29 de junio de 2020</t>
  </si>
  <si>
    <t>MXN $0.08602</t>
  </si>
  <si>
    <t>15 de junio de 2020</t>
  </si>
  <si>
    <t>MXN $0.0548</t>
  </si>
  <si>
    <t>14 de mayo de 2020</t>
  </si>
  <si>
    <t>MXN $0.117137</t>
  </si>
  <si>
    <t>8 de mayo de 2020</t>
  </si>
  <si>
    <t>MXN $0.066375</t>
  </si>
  <si>
    <t>13 de marzo de 2020</t>
  </si>
  <si>
    <t>MXN $0.154256</t>
  </si>
  <si>
    <t>9 de marzo de 2020</t>
  </si>
  <si>
    <t>MXN $0.064892</t>
  </si>
  <si>
    <t>12 de febrero de 2020</t>
  </si>
  <si>
    <t>MXN $0.096994</t>
  </si>
  <si>
    <t>7 de febrero de 2020</t>
  </si>
  <si>
    <t>MXN $0.044641</t>
  </si>
  <si>
    <t>30 de enero de 2020</t>
  </si>
  <si>
    <t>MXN $0.053093</t>
  </si>
  <si>
    <t>19 de noviembre de 2019</t>
  </si>
  <si>
    <t>MXN $0.000682</t>
  </si>
  <si>
    <t>13 de noviembre de 2019</t>
  </si>
  <si>
    <t>MXN $0.301367</t>
  </si>
  <si>
    <t>31 de octubre de 2019</t>
  </si>
  <si>
    <t>MXN $0.04215</t>
  </si>
  <si>
    <t>26 de septiembre de 2019</t>
  </si>
  <si>
    <t>MXN $0.058122</t>
  </si>
  <si>
    <t>16 de agosto de 2019</t>
  </si>
  <si>
    <t>MXN $0.000799</t>
  </si>
  <si>
    <t>9 de agosto de 2019</t>
  </si>
  <si>
    <t>MXN $0.264021</t>
  </si>
  <si>
    <t>6 de agosto de 2019</t>
  </si>
  <si>
    <t>MXN $0.026637</t>
  </si>
  <si>
    <t>5 de agosto de 2019</t>
  </si>
  <si>
    <t>MXN $0.002681</t>
  </si>
  <si>
    <t>31 de julio de 2019</t>
  </si>
  <si>
    <t>MXN $0.041419</t>
  </si>
  <si>
    <t>14 de junio de 2019</t>
  </si>
  <si>
    <t>MXN $0.083003</t>
  </si>
  <si>
    <t>17 de mayo de 2019</t>
  </si>
  <si>
    <t>MXN $0.0142</t>
  </si>
  <si>
    <t>16 de mayo de 2019</t>
  </si>
  <si>
    <t>MXN $0.002355</t>
  </si>
  <si>
    <t>13 de mayo de 2019</t>
  </si>
  <si>
    <t>MXN $0.106114</t>
  </si>
  <si>
    <t>MXN $0.079487</t>
  </si>
  <si>
    <t>10 de mayo de 2019</t>
  </si>
  <si>
    <t>MXN $0.067458</t>
  </si>
  <si>
    <t>30 de abril de 2019</t>
  </si>
  <si>
    <t>MXN $0.031102</t>
  </si>
  <si>
    <t>22 de marzo de 2019</t>
  </si>
  <si>
    <t>MXN $0.029646</t>
  </si>
  <si>
    <t>15 de marzo de 2019</t>
  </si>
  <si>
    <t>MXN $0.002765</t>
  </si>
  <si>
    <t>13 de marzo de 2019</t>
  </si>
  <si>
    <t>MXN $0.082215</t>
  </si>
  <si>
    <t>MXN $0.104358</t>
  </si>
  <si>
    <t>11 de marzo de 2019</t>
  </si>
  <si>
    <t>MXN $0.050954</t>
  </si>
  <si>
    <t>4 de marzo de 2019</t>
  </si>
  <si>
    <t>MXN $0.004158</t>
  </si>
  <si>
    <t>8 de febrero de 2019</t>
  </si>
  <si>
    <t>MXN $0.105316</t>
  </si>
  <si>
    <t>22 de noviembre de 2018</t>
  </si>
  <si>
    <t>MXN $0.03116</t>
  </si>
  <si>
    <t>14 de noviembre de 2018</t>
  </si>
  <si>
    <t>MXN $0.003151</t>
  </si>
  <si>
    <t>9 de noviembre de 2018</t>
  </si>
  <si>
    <t>MXN $0.171927</t>
  </si>
  <si>
    <t>8 de noviembre de 2018</t>
  </si>
  <si>
    <t>MXN $0.155543</t>
  </si>
  <si>
    <t>5 de noviembre de 2018</t>
  </si>
  <si>
    <t>MXN $0.025236</t>
  </si>
  <si>
    <t>31 de octubre de 2018</t>
  </si>
  <si>
    <t>MXN $0.040118</t>
  </si>
  <si>
    <t>16 de agosto de 2018</t>
  </si>
  <si>
    <t>MXN $0.003677</t>
  </si>
  <si>
    <t>10 de agosto de 2018</t>
  </si>
  <si>
    <t>MXN $0.197436</t>
  </si>
  <si>
    <t>9 de agosto de 2018</t>
  </si>
  <si>
    <t>MXN $0.124042</t>
  </si>
  <si>
    <t>6 de agosto de 2018</t>
  </si>
  <si>
    <t>MXN $0.004763</t>
  </si>
  <si>
    <t>27 de julio de 2018</t>
  </si>
  <si>
    <t>MXN $0.00</t>
  </si>
  <si>
    <t>16 de mayo de 2018</t>
  </si>
  <si>
    <t>MXN $0.00419</t>
  </si>
  <si>
    <t>10 de mayo de 2018</t>
  </si>
  <si>
    <t>MXN $0.21</t>
  </si>
  <si>
    <t>9 de mayo de 2018</t>
  </si>
  <si>
    <t>MXN $0.09</t>
  </si>
  <si>
    <t>7 de mayo de 2018</t>
  </si>
  <si>
    <t>MXN $0.01</t>
  </si>
  <si>
    <t>2 de mayo de 2018</t>
  </si>
  <si>
    <t>MXN $0.046668</t>
  </si>
  <si>
    <t>27 de abril de 2018</t>
  </si>
  <si>
    <t>MXN $0.010651</t>
  </si>
  <si>
    <t>16 de marzo de 2018</t>
  </si>
  <si>
    <t>MXN $0.046265</t>
  </si>
  <si>
    <t>15 de marzo de 2018</t>
  </si>
  <si>
    <t>MXN $0.003328</t>
  </si>
  <si>
    <t>13 de marzo de 2018</t>
  </si>
  <si>
    <t>MXN $0.02</t>
  </si>
  <si>
    <t>9 de marzo de 2018</t>
  </si>
  <si>
    <t>5 de marzo de 2018</t>
  </si>
  <si>
    <t>12 de febrero de 2018</t>
  </si>
  <si>
    <t>MXN $0.088824</t>
  </si>
  <si>
    <t>2021 Q4</t>
  </si>
  <si>
    <t>2021 Q3</t>
  </si>
  <si>
    <t>2021 Q2</t>
  </si>
  <si>
    <t>2021 Q1</t>
  </si>
  <si>
    <t>2020 Q4</t>
  </si>
  <si>
    <t>2020 Q3</t>
  </si>
  <si>
    <t>2020 Q2</t>
  </si>
  <si>
    <t>2020 Q1</t>
  </si>
  <si>
    <t>2019 Q4</t>
  </si>
  <si>
    <t>2019 Q3</t>
  </si>
  <si>
    <t>2019 Q2</t>
  </si>
  <si>
    <t>2019 Q1</t>
  </si>
  <si>
    <t>Ingresos Rentas</t>
  </si>
  <si>
    <t>Ingresos Totales</t>
  </si>
  <si>
    <t>NOI</t>
  </si>
  <si>
    <t>FFO</t>
  </si>
  <si>
    <t>Margen FFO que reporta la FIBRA</t>
  </si>
  <si>
    <t>FFO que reporta la FIBRA por CBFI</t>
  </si>
  <si>
    <t>Dividendos Decretados</t>
  </si>
  <si>
    <t>Dividendos Decretados por CBFI</t>
  </si>
  <si>
    <t>CBFIS en Circulación</t>
  </si>
  <si>
    <t>Cape Rate Implicito</t>
  </si>
  <si>
    <t>Capitalización de Mercado</t>
  </si>
  <si>
    <t>$96.93B</t>
  </si>
  <si>
    <t>$93.40B</t>
  </si>
  <si>
    <t>Descuento o Premium sobre NAV</t>
  </si>
  <si>
    <t>LTV</t>
  </si>
  <si>
    <t>Dividend Yield (Decretado)</t>
  </si>
  <si>
    <t>NAV por CBDI</t>
  </si>
  <si>
    <t>ROE Tangible</t>
  </si>
  <si>
    <t>9 de mayo de 2023</t>
  </si>
  <si>
    <t>MXN $0.389133</t>
  </si>
  <si>
    <t>MXN $0.155412</t>
  </si>
  <si>
    <t>10 de febrero de 2023</t>
  </si>
  <si>
    <t>MXN $0.951366</t>
  </si>
  <si>
    <t>MXN $0.5659</t>
  </si>
  <si>
    <t>MXN $0.523632</t>
  </si>
  <si>
    <t>9 de mayo de 2022</t>
  </si>
  <si>
    <t>MXN $0.50488</t>
  </si>
  <si>
    <t>9 de febrero de 2022</t>
  </si>
  <si>
    <t>MXN $0.682855</t>
  </si>
  <si>
    <t>9 de noviembre de 2021</t>
  </si>
  <si>
    <t>MXN $0.296</t>
  </si>
  <si>
    <t>MXN $0.074</t>
  </si>
  <si>
    <t>MXN $0.218526</t>
  </si>
  <si>
    <t>MXN $0.112574</t>
  </si>
  <si>
    <t>MXN $0.328345</t>
  </si>
  <si>
    <t>9 de febrero de 2021</t>
  </si>
  <si>
    <t>MXN $0.311912</t>
  </si>
  <si>
    <t>10 de noviembre de 2020</t>
  </si>
  <si>
    <t>MXN $0.26614</t>
  </si>
  <si>
    <t>MXN $0.034808</t>
  </si>
  <si>
    <t>MXN $0.280974</t>
  </si>
  <si>
    <t>11 de mayo de 2020</t>
  </si>
  <si>
    <t>MXN $0.290435</t>
  </si>
  <si>
    <t>11 de febrero de 2020</t>
  </si>
  <si>
    <t>MXN $0.59</t>
  </si>
  <si>
    <t>8 de noviembre de 2019</t>
  </si>
  <si>
    <t>MXN $0.585</t>
  </si>
  <si>
    <t>MXN $0.5836</t>
  </si>
  <si>
    <t>9 de mayo de 2019</t>
  </si>
  <si>
    <t>MXN $0.580552</t>
  </si>
  <si>
    <t>MXN $0.5755</t>
  </si>
  <si>
    <t>MXN $0.554984</t>
  </si>
  <si>
    <t>MXN $0.540109</t>
  </si>
  <si>
    <t>MXN $0.10</t>
  </si>
  <si>
    <t>MXN $0.330498</t>
  </si>
  <si>
    <t> Ingresos Rentas</t>
  </si>
  <si>
    <t> Ingresos Totales</t>
  </si>
  <si>
    <t> NOI</t>
  </si>
  <si>
    <t> Margen NOI</t>
  </si>
  <si>
    <t> FFO</t>
  </si>
  <si>
    <t> Margen FFO que reporta la FIBRA</t>
  </si>
  <si>
    <t> FFO que reporta la FIBRA por CBFI</t>
  </si>
  <si>
    <t> Dividendos Decretados</t>
  </si>
  <si>
    <t> CBFIS en Circulación</t>
  </si>
  <si>
    <t>$11.78B</t>
  </si>
  <si>
    <t> Descuento o Premium sobre NAV</t>
  </si>
  <si>
    <t> LTV</t>
  </si>
  <si>
    <t> Dividend Yield (Decretado)</t>
  </si>
  <si>
    <t>15 de junio de 2023</t>
  </si>
  <si>
    <t>MXN $0.525</t>
  </si>
  <si>
    <t>MXN $0.878824</t>
  </si>
  <si>
    <t>MXN $0.50</t>
  </si>
  <si>
    <t>16 de junio de 2022</t>
  </si>
  <si>
    <t>MXN $0.475</t>
  </si>
  <si>
    <t>28 de enero de 2022</t>
  </si>
  <si>
    <t>27 de septiembre de 2021</t>
  </si>
  <si>
    <t>15 de junio de 2021</t>
  </si>
  <si>
    <t>12 de marzo de 2021</t>
  </si>
  <si>
    <t>28 de enero de 2021</t>
  </si>
  <si>
    <t>MXN $0.008171</t>
  </si>
  <si>
    <t>MXN $0.466829</t>
  </si>
  <si>
    <t>MXN $0.11875</t>
  </si>
  <si>
    <t>MXN $0.35625</t>
  </si>
  <si>
    <t>12 de junio de 2020</t>
  </si>
  <si>
    <t>11 de marzo de 2020</t>
  </si>
  <si>
    <t>MXN $0.338893</t>
  </si>
  <si>
    <t>MXN $0.116107</t>
  </si>
  <si>
    <t>24 de enero de 2020</t>
  </si>
  <si>
    <t>MXN $0.455</t>
  </si>
  <si>
    <t>25 de septiembre de 2019</t>
  </si>
  <si>
    <t>MXN $0.356</t>
  </si>
  <si>
    <t>MXN $0.089</t>
  </si>
  <si>
    <t>MXN $0.2125</t>
  </si>
  <si>
    <t>MXN $0.41</t>
  </si>
  <si>
    <t>MXN $0.39</t>
  </si>
  <si>
    <t>MXN $0.375</t>
  </si>
  <si>
    <t>10 de mayo de 2023</t>
  </si>
  <si>
    <t>MXN $0.240527</t>
  </si>
  <si>
    <t>MXN $0.359473</t>
  </si>
  <si>
    <t>MXN $0.245729</t>
  </si>
  <si>
    <t>MXN $0.374271</t>
  </si>
  <si>
    <t>MXN $0.26225</t>
  </si>
  <si>
    <t>MXN $0.33775</t>
  </si>
  <si>
    <t>MXN $0.32361</t>
  </si>
  <si>
    <t>MXN $0.27639</t>
  </si>
  <si>
    <t>MXN $0.250482</t>
  </si>
  <si>
    <t>MXN $0.329518</t>
  </si>
  <si>
    <t>MXN $0.271285</t>
  </si>
  <si>
    <t>MXN $0.308715</t>
  </si>
  <si>
    <t>10 de noviembre de 2021</t>
  </si>
  <si>
    <t>MXN $0.251119</t>
  </si>
  <si>
    <t>MXN $0.268881</t>
  </si>
  <si>
    <t>MXN $0.229425</t>
  </si>
  <si>
    <t>MXN $0.270575</t>
  </si>
  <si>
    <t>MXN $0.215166</t>
  </si>
  <si>
    <t>MXN $0.184834</t>
  </si>
  <si>
    <t>10 de marzo de 2021</t>
  </si>
  <si>
    <t>MXN $0.195339</t>
  </si>
  <si>
    <t>MXN $0.404661</t>
  </si>
  <si>
    <t>MXN $0.40</t>
  </si>
  <si>
    <t>MXN $0.203668</t>
  </si>
  <si>
    <t>MXN $0.426332</t>
  </si>
  <si>
    <t>MXN $0.378847</t>
  </si>
  <si>
    <t>MXN $0.241153</t>
  </si>
  <si>
    <t>MXN $0.313886</t>
  </si>
  <si>
    <t>MXN $0.296114</t>
  </si>
  <si>
    <t>MXN $0.272791</t>
  </si>
  <si>
    <t>MXN $0.337209</t>
  </si>
  <si>
    <t>MXN $0.114007</t>
  </si>
  <si>
    <t>MXN $0.495993</t>
  </si>
  <si>
    <t>MXN $0.359104</t>
  </si>
  <si>
    <t>MXN $0.250896</t>
  </si>
  <si>
    <t>MXN $0.302996</t>
  </si>
  <si>
    <t>MXN $0.297004</t>
  </si>
  <si>
    <t>MXN $0.58</t>
  </si>
  <si>
    <t>MXN $0.182237</t>
  </si>
  <si>
    <t>MXN $0.397763</t>
  </si>
  <si>
    <t>Variable</t>
  </si>
  <si>
    <t>-</t>
  </si>
  <si>
    <t>11 de mayo de 2023</t>
  </si>
  <si>
    <t>MXN $0.5797</t>
  </si>
  <si>
    <t>21 de febrero de 2023</t>
  </si>
  <si>
    <t>MXN $0.580578</t>
  </si>
  <si>
    <t>15 de noviembre de 2022</t>
  </si>
  <si>
    <t>MXN $0.55953</t>
  </si>
  <si>
    <t>28 de julio de 2022</t>
  </si>
  <si>
    <t>MXN $0.577344</t>
  </si>
  <si>
    <t>10 de marzo de 2022</t>
  </si>
  <si>
    <t>MXN $0.53541</t>
  </si>
  <si>
    <t>17 de noviembre de 2021</t>
  </si>
  <si>
    <t>MXN $0.463032</t>
  </si>
  <si>
    <t>10 de agosto de 2021</t>
  </si>
  <si>
    <t>MXN $0.462611</t>
  </si>
  <si>
    <t>11 de mayo de 2021</t>
  </si>
  <si>
    <t>MXN $0.462256</t>
  </si>
  <si>
    <t>17 de marzo de 2021</t>
  </si>
  <si>
    <t>MXN $0.46232</t>
  </si>
  <si>
    <t>MXN $0.468028</t>
  </si>
  <si>
    <t>13 de agosto de 2020</t>
  </si>
  <si>
    <t>MXN $0.469544</t>
  </si>
  <si>
    <t>20 de mayo de 2020</t>
  </si>
  <si>
    <t>MXN $0.441131</t>
  </si>
  <si>
    <t>29 de noviembre de 2019</t>
  </si>
  <si>
    <t>MXN $0.419319</t>
  </si>
  <si>
    <t>28 de agosto de 2019</t>
  </si>
  <si>
    <t>MXN $0.416672</t>
  </si>
  <si>
    <t>23 de mayo de 2019</t>
  </si>
  <si>
    <t>MXN $0.398016</t>
  </si>
  <si>
    <t>19 de marzo de 2019</t>
  </si>
  <si>
    <t>MXN $0.394103</t>
  </si>
  <si>
    <t>MXN $0.391301</t>
  </si>
  <si>
    <t>5 de septiembre de 2018</t>
  </si>
  <si>
    <t>MXN $0.381661</t>
  </si>
  <si>
    <t>25 de mayo de 2018</t>
  </si>
  <si>
    <t>MXN $0.373692</t>
  </si>
  <si>
    <t>7 de marzo de 2018</t>
  </si>
  <si>
    <t>MXN $0.367326</t>
  </si>
  <si>
    <t>31 de marzo de 2023</t>
  </si>
  <si>
    <t>MXN $0.085</t>
  </si>
  <si>
    <t>24 de febrero de 2023</t>
  </si>
  <si>
    <t>MXN $0.138411</t>
  </si>
  <si>
    <t>31 de enero de 2023</t>
  </si>
  <si>
    <t>MXN $0.085256</t>
  </si>
  <si>
    <t>30 de diciembre de 2022</t>
  </si>
  <si>
    <t>MXN $0.058403</t>
  </si>
  <si>
    <t>MXN $0.02503</t>
  </si>
  <si>
    <t>30 de noviembre de 2022</t>
  </si>
  <si>
    <t>MXN $0.058404</t>
  </si>
  <si>
    <t>31 de octubre de 2022</t>
  </si>
  <si>
    <t>12 de septiembre de 2022</t>
  </si>
  <si>
    <t>MXN $0.033582</t>
  </si>
  <si>
    <t>MXN $0.050373</t>
  </si>
  <si>
    <t>31 de agosto de 2022</t>
  </si>
  <si>
    <t>30 de junio de 2022</t>
  </si>
  <si>
    <t>MXN $0.032887</t>
  </si>
  <si>
    <t>MXN $0.04933</t>
  </si>
  <si>
    <t>MXN $0.049331</t>
  </si>
  <si>
    <t>MXN $0.058318</t>
  </si>
  <si>
    <t>MXN $0.023026</t>
  </si>
  <si>
    <t>28 de febrero de 2022</t>
  </si>
  <si>
    <t>MXN $0.004874</t>
  </si>
  <si>
    <t>MXN $0.076471</t>
  </si>
  <si>
    <t>31 de enero de 2022</t>
  </si>
  <si>
    <t>MXN $0.004885</t>
  </si>
  <si>
    <t>MXN $0.076653</t>
  </si>
  <si>
    <t>31 de diciembre de 2021</t>
  </si>
  <si>
    <t>MXN $0.066863</t>
  </si>
  <si>
    <t>MXN $0.007429</t>
  </si>
  <si>
    <t>30 de noviembre de 2021</t>
  </si>
  <si>
    <t>MXN $0.066867</t>
  </si>
  <si>
    <t>MXN $0.00743</t>
  </si>
  <si>
    <t>MXN $0.073101</t>
  </si>
  <si>
    <t>31 de agosto de 2021</t>
  </si>
  <si>
    <t>30 de junio de 2021</t>
  </si>
  <si>
    <t>MXN $0.069473</t>
  </si>
  <si>
    <t>31 de mayo de 2021</t>
  </si>
  <si>
    <t>30 de abril de 2021</t>
  </si>
  <si>
    <t>MXN $0.0103</t>
  </si>
  <si>
    <t>MXN $0.073266</t>
  </si>
  <si>
    <t>26 de febrero de 2021</t>
  </si>
  <si>
    <t>MXN $0.083566</t>
  </si>
  <si>
    <t>MXN $0.083756</t>
  </si>
  <si>
    <t>31 de diciembre de 2020</t>
  </si>
  <si>
    <t>MXN $0.089052</t>
  </si>
  <si>
    <t>30 de noviembre de 2020</t>
  </si>
  <si>
    <t>MXN $0.089048</t>
  </si>
  <si>
    <t>30 de octubre de 2020</t>
  </si>
  <si>
    <t>MXN $0.089207</t>
  </si>
  <si>
    <t>30 de septiembre de 2020</t>
  </si>
  <si>
    <t>MXN $0.089696</t>
  </si>
  <si>
    <t>31 de agosto de 2020</t>
  </si>
  <si>
    <t>31 de julio de 2020</t>
  </si>
  <si>
    <t>MXN $0.090077</t>
  </si>
  <si>
    <t>30 de junio de 2020</t>
  </si>
  <si>
    <t>MXN $0.08708</t>
  </si>
  <si>
    <t>29 de mayo de 2020</t>
  </si>
  <si>
    <t>MXN $0.087077</t>
  </si>
  <si>
    <t>30 de abril de 2020</t>
  </si>
  <si>
    <t>MXN $0.087089</t>
  </si>
  <si>
    <t>25 de febrero de 2020</t>
  </si>
  <si>
    <t>MXN $0.009146</t>
  </si>
  <si>
    <t>MXN $0.163684</t>
  </si>
  <si>
    <t>24 de octubre de 2019</t>
  </si>
  <si>
    <t>MXN $0.07581</t>
  </si>
  <si>
    <t>MXN $0.018953</t>
  </si>
  <si>
    <t>11 de octubre de 2019</t>
  </si>
  <si>
    <t>MXN $0.234194</t>
  </si>
  <si>
    <t>MXN $0.058549</t>
  </si>
  <si>
    <t>26 de julio de 2019</t>
  </si>
  <si>
    <t>MXN $0.291865</t>
  </si>
  <si>
    <t>26 de abril de 2019</t>
  </si>
  <si>
    <t>MXN $0.265893</t>
  </si>
  <si>
    <t>22 de febrero de 2019</t>
  </si>
  <si>
    <t>MXN $0.169474</t>
  </si>
  <si>
    <t>26 de octubre de 2018</t>
  </si>
  <si>
    <t>MXN $0.128423</t>
  </si>
  <si>
    <t>MXN $0.2385</t>
  </si>
  <si>
    <t>26 de julio de 2018</t>
  </si>
  <si>
    <t>MXN $0.100083</t>
  </si>
  <si>
    <t>11 de mayo de 2018</t>
  </si>
  <si>
    <t>MXN $0.129585</t>
  </si>
  <si>
    <t>MXN $0.302365</t>
  </si>
  <si>
    <t>28 de febrero de 2018</t>
  </si>
  <si>
    <t>MXN $0.259865</t>
  </si>
  <si>
    <t>13 de mayo de 2023</t>
  </si>
  <si>
    <t>MXN $0.1250</t>
  </si>
  <si>
    <t>MXN $0.058805</t>
  </si>
  <si>
    <t>MXN $0.14291</t>
  </si>
  <si>
    <t>MXN $0.171107</t>
  </si>
  <si>
    <t>2 de agosto de 2019</t>
  </si>
  <si>
    <t>MXN $0.204149</t>
  </si>
  <si>
    <t>MXN $0.022248</t>
  </si>
  <si>
    <t>MXN $0.111074</t>
  </si>
  <si>
    <t>MXN $0.099762</t>
  </si>
  <si>
    <t>8 de marzo de 2019</t>
  </si>
  <si>
    <t>MXN $0.262211</t>
  </si>
  <si>
    <t>MXN $0.097852</t>
  </si>
  <si>
    <t>MXN $0.109591</t>
  </si>
  <si>
    <t>MXN $0.141257</t>
  </si>
  <si>
    <t>MXN $0.148851</t>
  </si>
  <si>
    <t>MXN $0.142017</t>
  </si>
  <si>
    <t>MXN $0.153258</t>
  </si>
  <si>
    <t>MXN $0.237146</t>
  </si>
  <si>
    <t>MXN $0.050283</t>
  </si>
  <si>
    <t>30 de marzo de 2023</t>
  </si>
  <si>
    <t>MXN $0.042845</t>
  </si>
  <si>
    <t>20 de marzo de 2020</t>
  </si>
  <si>
    <t>MXN $0.129033</t>
  </si>
  <si>
    <t>15 de noviembre de 2019</t>
  </si>
  <si>
    <t>MXN $0.063141</t>
  </si>
  <si>
    <t>MXN $0.073944</t>
  </si>
  <si>
    <t>MXN $0.1569</t>
  </si>
  <si>
    <t>MXN $0.180606</t>
  </si>
  <si>
    <t>MXN $0.180492</t>
  </si>
  <si>
    <t>15 de agosto de 2018</t>
  </si>
  <si>
    <t>MXN $0.210375</t>
  </si>
  <si>
    <t>MXN $0.25111</t>
  </si>
  <si>
    <t>MXN $0.251818</t>
  </si>
  <si>
    <t>15 de mayo de 2023</t>
  </si>
  <si>
    <t>MXN $0.3344</t>
  </si>
  <si>
    <t>MXN $0.2358</t>
  </si>
  <si>
    <t>MXN $0.562886</t>
  </si>
  <si>
    <t>MXN $0.575904</t>
  </si>
  <si>
    <t>2 de agosto de 2022</t>
  </si>
  <si>
    <t>MXN $0.572638</t>
  </si>
  <si>
    <t>13 de mayo de 2022</t>
  </si>
  <si>
    <t>MXN $0.571389</t>
  </si>
  <si>
    <t>8 de marzo de 2022</t>
  </si>
  <si>
    <t>MXN $0.570638</t>
  </si>
  <si>
    <t>MXN $0.570193</t>
  </si>
  <si>
    <t>5 de agosto de 2021</t>
  </si>
  <si>
    <t>MXN $0.559565</t>
  </si>
  <si>
    <t>13 de mayo de 2021</t>
  </si>
  <si>
    <t>MXN $0.557003</t>
  </si>
  <si>
    <t>4 de marzo de 2021</t>
  </si>
  <si>
    <t>MXN $0.558709</t>
  </si>
  <si>
    <t>MXN $0.557089</t>
  </si>
  <si>
    <t>7 de agosto de 2020</t>
  </si>
  <si>
    <t>MXN $0.518688</t>
  </si>
  <si>
    <t>28 de abril de 2020</t>
  </si>
  <si>
    <t>MXN $0.51935</t>
  </si>
  <si>
    <t>21 de febrero de 2020</t>
  </si>
  <si>
    <t>MXN $0.534968</t>
  </si>
  <si>
    <t>26 de noviembre de 2019</t>
  </si>
  <si>
    <t>MXN $0.509116</t>
  </si>
  <si>
    <t>20 de agosto de 2019</t>
  </si>
  <si>
    <t>MXN $0.491119</t>
  </si>
  <si>
    <t>20 de mayo de 2019</t>
  </si>
  <si>
    <t>MXN $0.487512</t>
  </si>
  <si>
    <t>25 de febrero de 2019</t>
  </si>
  <si>
    <t>MXN $0.481653</t>
  </si>
  <si>
    <t>26 de noviembre de 2018</t>
  </si>
  <si>
    <t>MXN $0.371951</t>
  </si>
  <si>
    <t>MXN $0.112544</t>
  </si>
  <si>
    <t>21 de abril de 2022</t>
  </si>
  <si>
    <t>MXN $0.109309</t>
  </si>
  <si>
    <t>23 de noviembre de 2021</t>
  </si>
  <si>
    <t>MXN $0.163964</t>
  </si>
  <si>
    <t>17 de agosto de 2021</t>
  </si>
  <si>
    <t>11 de marzo de 2021</t>
  </si>
  <si>
    <t>3 de noviembre de 2020</t>
  </si>
  <si>
    <t>MXN $0.153033</t>
  </si>
  <si>
    <t>18 de agosto de 2020</t>
  </si>
  <si>
    <t>MXN $0.132658</t>
  </si>
  <si>
    <t>27 de mayo de 2020</t>
  </si>
  <si>
    <t>MXN $0.016403</t>
  </si>
  <si>
    <t>2 de marzo de 2020</t>
  </si>
  <si>
    <t>MXN $0.225</t>
  </si>
  <si>
    <t>11 de noviembre de 2019</t>
  </si>
  <si>
    <t>MXN $0.216409</t>
  </si>
  <si>
    <t>MXN $0.205</t>
  </si>
  <si>
    <t>MXN $0.068474</t>
  </si>
  <si>
    <t>MXN $0.161526</t>
  </si>
  <si>
    <t>MXN $0.261273</t>
  </si>
  <si>
    <t>MXN $0.264842</t>
  </si>
  <si>
    <t>MXN $0.270579</t>
  </si>
  <si>
    <t>MXN $0.289518</t>
  </si>
  <si>
    <t>MXN $0.575</t>
  </si>
  <si>
    <t>MXN $0.803204</t>
  </si>
  <si>
    <t>MXN $0.042274</t>
  </si>
  <si>
    <t>30 de septiembre de 2022</t>
  </si>
  <si>
    <t>MXN $0.657043</t>
  </si>
  <si>
    <t>MXN $0.317963</t>
  </si>
  <si>
    <t>MXN $0.428403</t>
  </si>
  <si>
    <t>MXN $0.429201</t>
  </si>
  <si>
    <t>31 de marzo de 2022</t>
  </si>
  <si>
    <t>MXN $0.048141</t>
  </si>
  <si>
    <t>MXN $0.548927</t>
  </si>
  <si>
    <t>MXN $0.787827</t>
  </si>
  <si>
    <t>MXN $0.059299</t>
  </si>
  <si>
    <t>MXN $0.666537</t>
  </si>
  <si>
    <t>MXN $0.276152</t>
  </si>
  <si>
    <t>MXN $0.502103</t>
  </si>
  <si>
    <t>MXN $0.270424</t>
  </si>
  <si>
    <t>31 de marzo de 2021</t>
  </si>
  <si>
    <t>MXN $0.073976</t>
  </si>
  <si>
    <t>MXN $0.501024</t>
  </si>
  <si>
    <t>MXN $0.693641</t>
  </si>
  <si>
    <t>MXN $0.068485</t>
  </si>
  <si>
    <t>MXN $0.250706</t>
  </si>
  <si>
    <t>MXN $0.558862</t>
  </si>
  <si>
    <t>MXN $0.437857</t>
  </si>
  <si>
    <t>MXN $0.260568</t>
  </si>
  <si>
    <t>31 de marzo de 2020</t>
  </si>
  <si>
    <t>MXN $0.251049</t>
  </si>
  <si>
    <t>MXN $0.382798</t>
  </si>
  <si>
    <t>31 de diciembre de 2019</t>
  </si>
  <si>
    <t>MXN $0.771056</t>
  </si>
  <si>
    <t>MXN $0.036492</t>
  </si>
  <si>
    <t>30 de septiembre de 2019</t>
  </si>
  <si>
    <t>MXN $0.49836</t>
  </si>
  <si>
    <t>MXN $0.342338</t>
  </si>
  <si>
    <t>28 de junio de 2019</t>
  </si>
  <si>
    <t>MXN $0.410765</t>
  </si>
  <si>
    <t>MXN $0.255037</t>
  </si>
  <si>
    <t>29 de marzo de 2019</t>
  </si>
  <si>
    <t>MXN $0.25632</t>
  </si>
  <si>
    <t>MXN $0.358361</t>
  </si>
  <si>
    <t>4 de enero de 2019</t>
  </si>
  <si>
    <t>MXN $0.64313</t>
  </si>
  <si>
    <t>MXN $0.077037</t>
  </si>
  <si>
    <t>28 de septiembre de 2018</t>
  </si>
  <si>
    <t>MXN $0.55422</t>
  </si>
  <si>
    <t>MXN $0.221162</t>
  </si>
  <si>
    <t>29 de junio de 2018</t>
  </si>
  <si>
    <t>MXN $0.450609</t>
  </si>
  <si>
    <t>5 de mayo de 2023</t>
  </si>
  <si>
    <t>MXN $0.147633</t>
  </si>
  <si>
    <t>8 de noviembre de 2022</t>
  </si>
  <si>
    <t>MXN $0.116716</t>
  </si>
  <si>
    <t>2 de septiembre de 2022</t>
  </si>
  <si>
    <t>MXN $0.45</t>
  </si>
  <si>
    <t>1 de agosto de 2022</t>
  </si>
  <si>
    <t>MXN $0.107121</t>
  </si>
  <si>
    <t>2 de mayo de 2022</t>
  </si>
  <si>
    <t>MXN $0.08789</t>
  </si>
  <si>
    <t>24 de enero de 2022</t>
  </si>
  <si>
    <t>MXN $0.8858</t>
  </si>
  <si>
    <t>25 de octubre de 2021</t>
  </si>
  <si>
    <t>MXN $0.053997</t>
  </si>
  <si>
    <t>2 de agosto de 2021</t>
  </si>
  <si>
    <t>MXN $0.042123</t>
  </si>
  <si>
    <t>5 de julio de 2021</t>
  </si>
  <si>
    <t>MXN $1.15</t>
  </si>
  <si>
    <t>1 de marzo de 2021</t>
  </si>
  <si>
    <t>MXN $0.025123</t>
  </si>
  <si>
    <t>MXN $0.043378</t>
  </si>
  <si>
    <t>Date</t>
  </si>
  <si>
    <t>Dividends</t>
  </si>
  <si>
    <t>0.2566  Dividend</t>
  </si>
  <si>
    <t>Distribución de intereses</t>
  </si>
  <si>
    <t>0.615391 Dividend</t>
  </si>
  <si>
    <t>0.473905 Dividend</t>
  </si>
  <si>
    <t>Aug 16, 2022</t>
  </si>
  <si>
    <t>0.71437 Dividend</t>
  </si>
  <si>
    <t>0.470165 Dividend</t>
  </si>
  <si>
    <t>0.267572 Dividend</t>
  </si>
  <si>
    <t>0.530706 Dividend</t>
  </si>
  <si>
    <t>Aug 17, 2021</t>
  </si>
  <si>
    <t>0.631063 Dividend</t>
  </si>
  <si>
    <t>0.406027 Dividend</t>
  </si>
  <si>
    <t>0.342531 Dividend</t>
  </si>
  <si>
    <t>Aug 18, 2020</t>
  </si>
  <si>
    <t>0.387634 Dividend</t>
  </si>
  <si>
    <t>0.45942 Dividend</t>
  </si>
  <si>
    <t>0.107001 Dividend</t>
  </si>
  <si>
    <t>0.126952 Dividend</t>
  </si>
  <si>
    <t>MXN $0.480904</t>
  </si>
  <si>
    <t>23 de diciembre de 2022</t>
  </si>
  <si>
    <t>MXN $0.162425</t>
  </si>
  <si>
    <t>2 de diciembre de 2022</t>
  </si>
  <si>
    <t>MXN $0.510437</t>
  </si>
  <si>
    <t>29 de agosto de 2022</t>
  </si>
  <si>
    <t>MXN $0.44175</t>
  </si>
  <si>
    <t>30 de mayo de 2022</t>
  </si>
  <si>
    <t>MXN $0.289294</t>
  </si>
  <si>
    <t>30 de diciembre de 2020</t>
  </si>
  <si>
    <t>MXN $0.360548</t>
  </si>
  <si>
    <t>26 de noviembre de 2020</t>
  </si>
  <si>
    <t>MXN $0.227988</t>
  </si>
  <si>
    <t>17 de septiembre de 2020</t>
  </si>
  <si>
    <t>MXN $0.343304</t>
  </si>
  <si>
    <t>MXN $0.013687</t>
  </si>
  <si>
    <t>MXN $0.427045</t>
  </si>
  <si>
    <t>24 de diciembre de 2019</t>
  </si>
  <si>
    <t>MXN $0.27706</t>
  </si>
  <si>
    <t>30 de agosto de 2019</t>
  </si>
  <si>
    <t>MXN $0.303431</t>
  </si>
  <si>
    <t>20 de junio de 2019</t>
  </si>
  <si>
    <t>MXN $0.312706</t>
  </si>
  <si>
    <t>MXN $0.0033</t>
  </si>
  <si>
    <t>MXN $0.438927</t>
  </si>
  <si>
    <t>5 de diciembre de 2018</t>
  </si>
  <si>
    <t>MXN $0.476228</t>
  </si>
  <si>
    <t>17 de agosto de 2018</t>
  </si>
  <si>
    <t>MXN $0.438353</t>
  </si>
  <si>
    <t>1 de junio de 2018</t>
  </si>
  <si>
    <t>MXN $0.422996</t>
  </si>
  <si>
    <t>MXN $0.210061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</si>
</sst>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&quot;$&quot;#,##0.0000;[Red]\-&quot;$&quot;#,##0.0000"/>
    <numFmt numFmtId="165" formatCode="&quot;$&quot;#,##0.00;[Red]\-&quot;$&quot;#,##0.00"/>
    <numFmt numFmtId="166" formatCode="&quot;$&quot;#,##0.00"/>
    <numFmt numFmtId="167" formatCode="d/M/yyyy"/>
    <numFmt numFmtId="168" formatCode="&quot;$&quot;#,##0.0000"/>
    <numFmt numFmtId="169" formatCode="#,##0.0000"/>
    <numFmt numFmtId="170" formatCode="&quot;$&quot;#,##0;[Red]\-&quot;$&quot;#,##0"/>
    <numFmt numFmtId="171" formatCode="#,##0.0000000"/>
    <numFmt numFmtId="172" formatCode="d mmmm yyyy"/>
    <numFmt numFmtId="173" formatCode="&quot;$&quot;#,##0"/>
    <numFmt numFmtId="174" formatCode="mmm d, yyyy"/>
  </numFmts>
  <fonts count="29">
    <font>
      <sz val="11.0"/>
      <color theme="1"/>
      <name val="Calibri"/>
      <scheme val="minor"/>
    </font>
    <font>
      <sz val="10.0"/>
      <color theme="1"/>
      <name val="Arial"/>
    </font>
    <font>
      <b/>
      <sz val="12.0"/>
      <color theme="1"/>
      <name val="Arial"/>
    </font>
    <font/>
    <font>
      <b/>
      <sz val="18.0"/>
      <color rgb="FFFFFFFF"/>
      <name val="Calibri"/>
    </font>
    <font>
      <b/>
      <sz val="14.0"/>
      <color rgb="FFFFFFFF"/>
      <name val="Calibri"/>
    </font>
    <font>
      <b/>
      <sz val="12.0"/>
      <color rgb="FFFFFFFF"/>
      <name val="Calibri"/>
    </font>
    <font>
      <b/>
      <sz val="12.0"/>
      <color rgb="FFFFFFFF"/>
      <name val="Arial"/>
    </font>
    <font>
      <b/>
      <sz val="11.0"/>
      <color theme="1"/>
      <name val="Calibri"/>
    </font>
    <font>
      <b/>
      <sz val="10.0"/>
      <color rgb="FFFFFFFF"/>
      <name val="Arial"/>
    </font>
    <font>
      <u/>
      <sz val="11.0"/>
      <color rgb="FF0000FF"/>
      <name val="Calibri"/>
    </font>
    <font>
      <sz val="11.0"/>
      <color theme="1"/>
      <name val="Calibri"/>
    </font>
    <font>
      <b/>
      <sz val="11.0"/>
      <color rgb="FF00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color theme="1"/>
      <name val="Calibri"/>
      <scheme val="minor"/>
    </font>
    <font>
      <b/>
      <sz val="12.0"/>
      <color theme="1"/>
      <name val="Calibri"/>
    </font>
    <font>
      <sz val="10.0"/>
      <color theme="1"/>
      <name val="Calibri"/>
    </font>
    <font>
      <sz val="11.0"/>
      <color rgb="FFFFFFFF"/>
      <name val="Arial"/>
    </font>
    <font>
      <color theme="1"/>
      <name val="Arial"/>
    </font>
    <font>
      <sz val="8.0"/>
      <color theme="1"/>
      <name val="Arial"/>
    </font>
    <font>
      <b/>
      <sz val="11.0"/>
      <color rgb="FF8C8FA7"/>
      <name val="&quot;Titillium Web&quot;"/>
    </font>
    <font>
      <sz val="11.0"/>
      <color rgb="FF8C8FA7"/>
      <name val="&quot;Titillium Web&quot;"/>
    </font>
    <font>
      <b/>
      <sz val="9.0"/>
      <color rgb="FF8C8FA7"/>
      <name val="&quot;Segoe UI&quot;"/>
    </font>
    <font>
      <sz val="11.0"/>
      <color rgb="FF000000"/>
      <name val="Calibri"/>
    </font>
    <font>
      <sz val="9.0"/>
      <color rgb="FF8C8FA7"/>
      <name val="&quot;Segoe UI&quot;"/>
    </font>
    <font>
      <sz val="11.0"/>
      <color rgb="FF575962"/>
      <name val="Poppins"/>
    </font>
    <font>
      <color rgb="FF232A31"/>
      <name val="&quot;Yahoo Sans Finance&quot;"/>
    </font>
  </fonts>
  <fills count="1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D6F9FF"/>
        <bgColor rgb="FFD6F9FF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2FAF6"/>
        <bgColor rgb="FFF2FAF6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31">
    <border/>
    <border>
      <left/>
      <right/>
      <top/>
    </border>
    <border>
      <left/>
      <top/>
    </border>
    <border>
      <right/>
      <top/>
    </border>
    <border>
      <left/>
      <right/>
      <top/>
      <bottom/>
    </border>
    <border>
      <left/>
      <right/>
      <bottom/>
    </border>
    <border>
      <left/>
      <bottom/>
    </border>
    <border>
      <right/>
      <bottom/>
    </border>
    <border>
      <bottom style="medium">
        <color rgb="FFB7B7B7"/>
      </bottom>
    </border>
    <border>
      <left style="medium">
        <color rgb="FFB7B7B7"/>
      </left>
      <right/>
      <top style="medium">
        <color rgb="FFB7B7B7"/>
      </top>
    </border>
    <border>
      <left style="medium">
        <color rgb="FFB7B7B7"/>
      </left>
      <right/>
      <top/>
      <bottom/>
    </border>
    <border>
      <left style="medium">
        <color rgb="FFB7B7B7"/>
      </left>
      <right style="medium">
        <color rgb="FFB7B7B7"/>
      </right>
      <top style="medium">
        <color rgb="FFB7B7B7"/>
      </top>
    </border>
    <border>
      <left style="medium">
        <color rgb="FFB7B7B7"/>
      </left>
      <top/>
      <bottom style="medium">
        <color rgb="FFB7B7B7"/>
      </bottom>
    </border>
    <border>
      <top/>
      <bottom style="medium">
        <color rgb="FFB7B7B7"/>
      </bottom>
    </border>
    <border>
      <right/>
      <top/>
      <bottom style="medium">
        <color rgb="FFB7B7B7"/>
      </bottom>
    </border>
    <border>
      <left/>
      <top/>
      <bottom style="medium">
        <color rgb="FFB7B7B7"/>
      </bottom>
    </border>
    <border>
      <left/>
      <right/>
      <top/>
      <bottom style="medium">
        <color rgb="FFB7B7B7"/>
      </bottom>
    </border>
    <border>
      <left/>
      <top style="medium">
        <color rgb="FFB7B7B7"/>
      </top>
      <bottom style="medium">
        <color rgb="FFB7B7B7"/>
      </bottom>
    </border>
    <border>
      <top style="medium">
        <color rgb="FFB7B7B7"/>
      </top>
      <bottom style="medium">
        <color rgb="FFB7B7B7"/>
      </bottom>
    </border>
    <border>
      <right style="medium">
        <color rgb="FFB7B7B7"/>
      </right>
      <top style="medium">
        <color rgb="FFB7B7B7"/>
      </top>
      <bottom style="medium">
        <color rgb="FFB7B7B7"/>
      </bottom>
    </border>
    <border>
      <left style="medium">
        <color rgb="FFB7B7B7"/>
      </left>
      <right/>
      <bottom style="medium">
        <color rgb="FFB7B7B7"/>
      </bottom>
    </border>
    <border>
      <left style="medium">
        <color rgb="FFB7B7B7"/>
      </left>
      <right style="medium">
        <color rgb="FFB7B7B7"/>
      </right>
      <bottom style="medium">
        <color rgb="FFB7B7B7"/>
      </bottom>
    </border>
    <border>
      <left/>
      <right style="medium">
        <color rgb="FFB7B7B7"/>
      </right>
      <top/>
      <bottom style="medium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B7B7B7"/>
      </right>
      <top/>
      <bottom style="medium">
        <color rgb="FFB7B7B7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medium">
        <color rgb="FFE2E2E2"/>
      </bottom>
    </border>
    <border>
      <bottom style="medium">
        <color rgb="FFE2E2E2"/>
      </bottom>
    </border>
    <border>
      <top style="medium">
        <color rgb="FFE2E2E2"/>
      </top>
      <bottom style="medium">
        <color rgb="FFE2E2E2"/>
      </bottom>
    </border>
  </borders>
  <cellStyleXfs count="1">
    <xf borderId="0" fillId="0" fontId="0" numFmtId="0" applyAlignment="1" applyFont="1"/>
  </cellStyleXfs>
  <cellXfs count="2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3" xfId="0" applyAlignment="1" applyFont="1" applyNumberFormat="1">
      <alignment shrinkToFit="0" wrapText="1"/>
    </xf>
    <xf borderId="0" fillId="0" fontId="1" numFmtId="164" xfId="0" applyAlignment="1" applyFont="1" applyNumberFormat="1">
      <alignment shrinkToFit="0" wrapText="1"/>
    </xf>
    <xf borderId="0" fillId="0" fontId="1" numFmtId="4" xfId="0" applyAlignment="1" applyFont="1" applyNumberFormat="1">
      <alignment shrinkToFit="0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3" fontId="2" numFmtId="165" xfId="0" applyAlignment="1" applyBorder="1" applyFill="1" applyFont="1" applyNumberForma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1" fillId="3" fontId="2" numFmtId="10" xfId="0" applyAlignment="1" applyBorder="1" applyFont="1" applyNumberForma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4" fillId="3" fontId="2" numFmtId="10" xfId="0" applyAlignment="1" applyBorder="1" applyFont="1" applyNumberFormat="1">
      <alignment horizontal="center" shrinkToFit="0" vertical="center" wrapText="1"/>
    </xf>
    <xf borderId="4" fillId="3" fontId="2" numFmtId="165" xfId="0" applyAlignment="1" applyBorder="1" applyFont="1" applyNumberFormat="1">
      <alignment horizontal="center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4" fillId="2" fontId="2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1" numFmtId="0" xfId="0" applyAlignment="1" applyBorder="1" applyFont="1">
      <alignment shrinkToFit="0" wrapText="1"/>
    </xf>
    <xf borderId="8" fillId="0" fontId="1" numFmtId="4" xfId="0" applyAlignment="1" applyBorder="1" applyFont="1" applyNumberFormat="1">
      <alignment shrinkToFit="0" wrapText="1"/>
    </xf>
    <xf borderId="9" fillId="4" fontId="4" numFmtId="0" xfId="0" applyAlignment="1" applyBorder="1" applyFill="1" applyFont="1">
      <alignment horizontal="center" shrinkToFit="0" vertical="center" wrapText="1"/>
    </xf>
    <xf borderId="10" fillId="4" fontId="4" numFmtId="0" xfId="0" applyAlignment="1" applyBorder="1" applyFont="1">
      <alignment horizontal="center" shrinkToFit="0" vertical="center" wrapText="1"/>
    </xf>
    <xf borderId="11" fillId="4" fontId="5" numFmtId="0" xfId="0" applyAlignment="1" applyBorder="1" applyFont="1">
      <alignment horizontal="center" readingOrder="0" shrinkToFit="0" vertical="center" wrapText="1"/>
    </xf>
    <xf borderId="11" fillId="4" fontId="6" numFmtId="0" xfId="0" applyAlignment="1" applyBorder="1" applyFont="1">
      <alignment horizontal="center" shrinkToFit="0" vertical="center" wrapText="1"/>
    </xf>
    <xf borderId="12" fillId="5" fontId="2" numFmtId="0" xfId="0" applyAlignment="1" applyBorder="1" applyFill="1" applyFont="1">
      <alignment horizontal="center" shrinkToFit="0" wrapText="1"/>
    </xf>
    <xf borderId="13" fillId="0" fontId="3" numFmtId="0" xfId="0" applyBorder="1" applyFont="1"/>
    <xf borderId="14" fillId="0" fontId="3" numFmtId="0" xfId="0" applyBorder="1" applyFont="1"/>
    <xf borderId="15" fillId="6" fontId="2" numFmtId="0" xfId="0" applyAlignment="1" applyBorder="1" applyFill="1" applyFont="1">
      <alignment horizontal="center" shrinkToFit="0" wrapText="1"/>
    </xf>
    <xf borderId="16" fillId="6" fontId="2" numFmtId="0" xfId="0" applyAlignment="1" applyBorder="1" applyFont="1">
      <alignment horizontal="center" shrinkToFit="0" wrapText="1"/>
    </xf>
    <xf borderId="17" fillId="7" fontId="7" numFmtId="0" xfId="0" applyAlignment="1" applyBorder="1" applyFill="1" applyFont="1">
      <alignment horizontal="center" shrinkToFit="0" wrapText="1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5" fontId="8" numFmtId="0" xfId="0" applyAlignment="1" applyBorder="1" applyFont="1">
      <alignment horizontal="center" shrinkToFit="0" vertical="center" wrapText="1"/>
    </xf>
    <xf borderId="22" fillId="5" fontId="8" numFmtId="3" xfId="0" applyAlignment="1" applyBorder="1" applyFont="1" applyNumberFormat="1">
      <alignment horizontal="center" readingOrder="0" shrinkToFit="0" vertical="center" wrapText="1"/>
    </xf>
    <xf borderId="22" fillId="5" fontId="8" numFmtId="3" xfId="0" applyAlignment="1" applyBorder="1" applyFont="1" applyNumberFormat="1">
      <alignment horizontal="center" shrinkToFit="0" vertical="center" wrapText="1"/>
    </xf>
    <xf borderId="22" fillId="5" fontId="8" numFmtId="0" xfId="0" applyAlignment="1" applyBorder="1" applyFont="1">
      <alignment horizontal="center" readingOrder="0" shrinkToFit="0" vertical="center" wrapText="1"/>
    </xf>
    <xf borderId="22" fillId="6" fontId="8" numFmtId="0" xfId="0" applyAlignment="1" applyBorder="1" applyFont="1">
      <alignment horizontal="center" shrinkToFit="0" vertical="center" wrapText="1"/>
    </xf>
    <xf borderId="22" fillId="6" fontId="8" numFmtId="164" xfId="0" applyAlignment="1" applyBorder="1" applyFont="1" applyNumberFormat="1">
      <alignment horizontal="center" shrinkToFit="0" vertical="center" wrapText="1"/>
    </xf>
    <xf borderId="22" fillId="6" fontId="8" numFmtId="0" xfId="0" applyAlignment="1" applyBorder="1" applyFont="1">
      <alignment horizontal="center" readingOrder="0" shrinkToFit="0" vertical="center" wrapText="1"/>
    </xf>
    <xf borderId="22" fillId="7" fontId="9" numFmtId="0" xfId="0" applyAlignment="1" applyBorder="1" applyFont="1">
      <alignment horizontal="center" readingOrder="0" shrinkToFit="0" vertical="center" wrapText="1"/>
    </xf>
    <xf borderId="22" fillId="7" fontId="9" numFmtId="4" xfId="0" applyAlignment="1" applyBorder="1" applyFont="1" applyNumberFormat="1">
      <alignment horizontal="center" readingOrder="0" shrinkToFit="0" vertical="center" wrapText="1"/>
    </xf>
    <xf borderId="22" fillId="7" fontId="9" numFmtId="0" xfId="0" applyAlignment="1" applyBorder="1" applyFont="1">
      <alignment horizontal="center" shrinkToFit="0" vertical="center" wrapText="1"/>
    </xf>
    <xf borderId="0" fillId="7" fontId="9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16" fillId="8" fontId="8" numFmtId="0" xfId="0" applyAlignment="1" applyBorder="1" applyFill="1" applyFont="1">
      <alignment horizontal="center" shrinkToFit="0" wrapText="1"/>
    </xf>
    <xf borderId="16" fillId="8" fontId="10" numFmtId="0" xfId="0" applyAlignment="1" applyBorder="1" applyFont="1">
      <alignment horizontal="left" readingOrder="0" shrinkToFit="0" wrapText="1"/>
    </xf>
    <xf borderId="22" fillId="8" fontId="11" numFmtId="0" xfId="0" applyAlignment="1" applyBorder="1" applyFont="1">
      <alignment horizontal="center" shrinkToFit="0" wrapText="1"/>
    </xf>
    <xf borderId="22" fillId="8" fontId="11" numFmtId="10" xfId="0" applyAlignment="1" applyBorder="1" applyFont="1" applyNumberFormat="1">
      <alignment horizontal="center" shrinkToFit="0" wrapText="1"/>
    </xf>
    <xf borderId="22" fillId="9" fontId="11" numFmtId="0" xfId="0" applyAlignment="1" applyBorder="1" applyFill="1" applyFont="1">
      <alignment horizontal="center" shrinkToFit="0" wrapText="1"/>
    </xf>
    <xf borderId="22" fillId="9" fontId="11" numFmtId="165" xfId="0" applyAlignment="1" applyBorder="1" applyFont="1" applyNumberFormat="1">
      <alignment horizontal="center" shrinkToFit="0" wrapText="1"/>
    </xf>
    <xf borderId="22" fillId="9" fontId="12" numFmtId="165" xfId="0" applyAlignment="1" applyBorder="1" applyFont="1" applyNumberFormat="1">
      <alignment horizontal="center" shrinkToFit="0" wrapText="1"/>
    </xf>
    <xf borderId="22" fillId="9" fontId="11" numFmtId="166" xfId="0" applyAlignment="1" applyBorder="1" applyFont="1" applyNumberFormat="1">
      <alignment horizontal="center" shrinkToFit="0" wrapText="1"/>
    </xf>
    <xf borderId="22" fillId="9" fontId="11" numFmtId="4" xfId="0" applyAlignment="1" applyBorder="1" applyFont="1" applyNumberFormat="1">
      <alignment horizontal="center" shrinkToFit="0" wrapText="1"/>
    </xf>
    <xf borderId="22" fillId="9" fontId="11" numFmtId="3" xfId="0" applyAlignment="1" applyBorder="1" applyFont="1" applyNumberFormat="1">
      <alignment horizontal="center" readingOrder="0" shrinkToFit="0" wrapText="1"/>
    </xf>
    <xf borderId="22" fillId="10" fontId="11" numFmtId="10" xfId="0" applyAlignment="1" applyBorder="1" applyFill="1" applyFont="1" applyNumberFormat="1">
      <alignment horizontal="center" shrinkToFit="0" wrapText="1"/>
    </xf>
    <xf borderId="22" fillId="10" fontId="11" numFmtId="10" xfId="0" applyAlignment="1" applyBorder="1" applyFont="1" applyNumberFormat="1">
      <alignment horizontal="center" shrinkToFit="0" wrapText="1"/>
    </xf>
    <xf borderId="22" fillId="11" fontId="11" numFmtId="165" xfId="0" applyAlignment="1" applyBorder="1" applyFill="1" applyFont="1" applyNumberFormat="1">
      <alignment horizontal="center" shrinkToFit="0" wrapText="1"/>
    </xf>
    <xf borderId="22" fillId="11" fontId="11" numFmtId="164" xfId="0" applyAlignment="1" applyBorder="1" applyFont="1" applyNumberFormat="1">
      <alignment horizontal="center" shrinkToFit="0" wrapText="1"/>
    </xf>
    <xf borderId="22" fillId="0" fontId="11" numFmtId="10" xfId="0" applyAlignment="1" applyBorder="1" applyFont="1" applyNumberFormat="1">
      <alignment horizontal="center" shrinkToFit="0" wrapText="1"/>
    </xf>
    <xf borderId="22" fillId="12" fontId="1" numFmtId="10" xfId="0" applyAlignment="1" applyBorder="1" applyFill="1" applyFont="1" applyNumberFormat="1">
      <alignment horizontal="center" shrinkToFit="0" wrapText="1"/>
    </xf>
    <xf borderId="22" fillId="0" fontId="1" numFmtId="10" xfId="0" applyAlignment="1" applyBorder="1" applyFont="1" applyNumberFormat="1">
      <alignment horizontal="center" shrinkToFit="0" wrapText="1"/>
    </xf>
    <xf borderId="22" fillId="12" fontId="1" numFmtId="4" xfId="0" applyAlignment="1" applyBorder="1" applyFont="1" applyNumberFormat="1">
      <alignment horizontal="center" shrinkToFit="0" wrapText="1"/>
    </xf>
    <xf borderId="22" fillId="13" fontId="1" numFmtId="165" xfId="0" applyAlignment="1" applyBorder="1" applyFill="1" applyFont="1" applyNumberFormat="1">
      <alignment horizontal="center" shrinkToFit="0" wrapText="1"/>
    </xf>
    <xf borderId="22" fillId="13" fontId="1" numFmtId="10" xfId="0" applyAlignment="1" applyBorder="1" applyFont="1" applyNumberFormat="1">
      <alignment horizontal="center" shrinkToFit="0" wrapText="1"/>
    </xf>
    <xf borderId="16" fillId="8" fontId="11" numFmtId="0" xfId="0" applyAlignment="1" applyBorder="1" applyFont="1">
      <alignment horizontal="left" shrinkToFit="0" wrapText="1"/>
    </xf>
    <xf borderId="22" fillId="9" fontId="11" numFmtId="3" xfId="0" applyAlignment="1" applyBorder="1" applyFont="1" applyNumberFormat="1">
      <alignment horizontal="center" shrinkToFit="0" wrapText="1"/>
    </xf>
    <xf borderId="22" fillId="13" fontId="1" numFmtId="166" xfId="0" applyAlignment="1" applyBorder="1" applyFont="1" applyNumberFormat="1">
      <alignment horizontal="center" shrinkToFit="0" wrapText="1"/>
    </xf>
    <xf borderId="16" fillId="8" fontId="13" numFmtId="0" xfId="0" applyAlignment="1" applyBorder="1" applyFont="1">
      <alignment horizontal="left" shrinkToFit="0" wrapText="1"/>
    </xf>
    <xf borderId="4" fillId="8" fontId="14" numFmtId="0" xfId="0" applyAlignment="1" applyBorder="1" applyFont="1">
      <alignment horizontal="left" shrinkToFit="0" wrapText="1"/>
    </xf>
    <xf borderId="22" fillId="8" fontId="8" numFmtId="0" xfId="0" applyAlignment="1" applyBorder="1" applyFont="1">
      <alignment horizontal="center" readingOrder="0" shrinkToFit="0" wrapText="1"/>
    </xf>
    <xf borderId="22" fillId="9" fontId="11" numFmtId="165" xfId="0" applyAlignment="1" applyBorder="1" applyFont="1" applyNumberFormat="1">
      <alignment horizontal="center" readingOrder="0" shrinkToFit="0" wrapText="1"/>
    </xf>
    <xf borderId="22" fillId="9" fontId="11" numFmtId="4" xfId="0" applyAlignment="1" applyBorder="1" applyFont="1" applyNumberFormat="1">
      <alignment horizontal="center" readingOrder="0" shrinkToFit="0" wrapText="1"/>
    </xf>
    <xf borderId="0" fillId="8" fontId="8" numFmtId="0" xfId="0" applyAlignment="1" applyFont="1">
      <alignment horizontal="center" readingOrder="0" shrinkToFit="0" wrapText="1"/>
    </xf>
    <xf borderId="0" fillId="8" fontId="15" numFmtId="0" xfId="0" applyAlignment="1" applyFont="1">
      <alignment horizontal="left" readingOrder="0" shrinkToFit="0" wrapText="1"/>
    </xf>
    <xf borderId="0" fillId="9" fontId="11" numFmtId="0" xfId="0" applyAlignment="1" applyFont="1">
      <alignment horizontal="center" readingOrder="0" shrinkToFit="0" wrapText="1"/>
    </xf>
    <xf borderId="0" fillId="9" fontId="11" numFmtId="165" xfId="0" applyAlignment="1" applyFont="1" applyNumberFormat="1">
      <alignment horizontal="center" readingOrder="0" shrinkToFit="0" wrapText="1"/>
    </xf>
    <xf borderId="0" fillId="9" fontId="11" numFmtId="4" xfId="0" applyAlignment="1" applyFont="1" applyNumberFormat="1">
      <alignment horizontal="center" readingOrder="0" shrinkToFit="0" wrapText="1"/>
    </xf>
    <xf borderId="0" fillId="9" fontId="11" numFmtId="3" xfId="0" applyAlignment="1" applyFont="1" applyNumberFormat="1">
      <alignment horizontal="center" readingOrder="0" shrinkToFit="0" wrapText="1"/>
    </xf>
    <xf borderId="0" fillId="10" fontId="11" numFmtId="10" xfId="0" applyAlignment="1" applyFont="1" applyNumberFormat="1">
      <alignment horizontal="center" shrinkToFit="0" wrapText="1"/>
    </xf>
    <xf borderId="0" fillId="10" fontId="11" numFmtId="10" xfId="0" applyAlignment="1" applyFont="1" applyNumberFormat="1">
      <alignment horizontal="center" shrinkToFit="0" wrapText="1"/>
    </xf>
    <xf borderId="0" fillId="11" fontId="11" numFmtId="165" xfId="0" applyAlignment="1" applyFont="1" applyNumberFormat="1">
      <alignment horizontal="center" shrinkToFit="0" wrapText="1"/>
    </xf>
    <xf borderId="0" fillId="11" fontId="11" numFmtId="164" xfId="0" applyAlignment="1" applyFont="1" applyNumberFormat="1">
      <alignment horizontal="center" shrinkToFit="0" wrapText="1"/>
    </xf>
    <xf borderId="0" fillId="0" fontId="11" numFmtId="10" xfId="0" applyAlignment="1" applyFont="1" applyNumberFormat="1">
      <alignment horizontal="center" shrinkToFit="0" wrapText="1"/>
    </xf>
    <xf borderId="0" fillId="12" fontId="1" numFmtId="10" xfId="0" applyAlignment="1" applyFont="1" applyNumberFormat="1">
      <alignment horizontal="center" shrinkToFit="0" wrapText="1"/>
    </xf>
    <xf borderId="0" fillId="12" fontId="1" numFmtId="4" xfId="0" applyAlignment="1" applyFont="1" applyNumberFormat="1">
      <alignment horizontal="center" shrinkToFit="0" wrapText="1"/>
    </xf>
    <xf borderId="0" fillId="0" fontId="1" numFmtId="10" xfId="0" applyAlignment="1" applyFont="1" applyNumberFormat="1">
      <alignment horizontal="center" shrinkToFit="0" wrapText="1"/>
    </xf>
    <xf borderId="0" fillId="13" fontId="1" numFmtId="165" xfId="0" applyAlignment="1" applyFont="1" applyNumberFormat="1">
      <alignment horizontal="center" shrinkToFit="0" wrapText="1"/>
    </xf>
    <xf borderId="0" fillId="13" fontId="1" numFmtId="10" xfId="0" applyAlignment="1" applyFont="1" applyNumberFormat="1">
      <alignment horizontal="center" shrinkToFit="0" wrapText="1"/>
    </xf>
    <xf borderId="0" fillId="0" fontId="11" numFmtId="0" xfId="0" applyFont="1"/>
    <xf borderId="0" fillId="0" fontId="16" numFmtId="3" xfId="0" applyFont="1" applyNumberFormat="1"/>
    <xf borderId="0" fillId="0" fontId="16" numFmtId="164" xfId="0" applyFont="1" applyNumberFormat="1"/>
    <xf borderId="0" fillId="0" fontId="11" numFmtId="4" xfId="0" applyFont="1" applyNumberFormat="1"/>
    <xf borderId="0" fillId="0" fontId="17" numFmtId="0" xfId="0" applyAlignment="1" applyFont="1">
      <alignment horizontal="center" vertical="center"/>
    </xf>
    <xf borderId="0" fillId="0" fontId="17" numFmtId="1" xfId="0" applyAlignment="1" applyFont="1" applyNumberFormat="1">
      <alignment horizontal="center" shrinkToFit="0" vertical="center" wrapText="1"/>
    </xf>
    <xf borderId="0" fillId="0" fontId="17" numFmtId="166" xfId="0" applyAlignment="1" applyFont="1" applyNumberFormat="1">
      <alignment horizontal="center" shrinkToFit="0" vertical="center" wrapText="1"/>
    </xf>
    <xf borderId="0" fillId="0" fontId="17" numFmtId="166" xfId="0" applyAlignment="1" applyFont="1" applyNumberFormat="1">
      <alignment horizontal="center" readingOrder="0" shrinkToFit="0" vertical="center" wrapText="1"/>
    </xf>
    <xf borderId="0" fillId="0" fontId="17" numFmtId="167" xfId="0" applyAlignment="1" applyFont="1" applyNumberFormat="1">
      <alignment horizontal="center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7" numFmtId="3" xfId="0" applyAlignment="1" applyFont="1" applyNumberFormat="1">
      <alignment horizontal="center" vertical="center"/>
    </xf>
    <xf borderId="0" fillId="0" fontId="17" numFmtId="166" xfId="0" applyAlignment="1" applyFont="1" applyNumberFormat="1">
      <alignment horizontal="center" vertical="center"/>
    </xf>
    <xf borderId="0" fillId="0" fontId="18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1" numFmtId="166" xfId="0" applyAlignment="1" applyFont="1" applyNumberFormat="1">
      <alignment readingOrder="0"/>
    </xf>
    <xf borderId="0" fillId="0" fontId="18" numFmtId="166" xfId="0" applyAlignment="1" applyFont="1" applyNumberFormat="1">
      <alignment readingOrder="0"/>
    </xf>
    <xf borderId="0" fillId="0" fontId="18" numFmtId="167" xfId="0" applyAlignment="1" applyFont="1" applyNumberFormat="1">
      <alignment readingOrder="0"/>
    </xf>
    <xf borderId="0" fillId="0" fontId="18" numFmtId="0" xfId="0" applyFont="1"/>
    <xf borderId="0" fillId="2" fontId="2" numFmtId="0" xfId="0" applyAlignment="1" applyFont="1">
      <alignment horizontal="center" shrinkToFit="0" vertical="center" wrapText="1"/>
    </xf>
    <xf borderId="0" fillId="3" fontId="2" numFmtId="165" xfId="0" applyAlignment="1" applyFont="1" applyNumberFormat="1">
      <alignment horizontal="center" shrinkToFit="0" vertical="center" wrapText="1"/>
    </xf>
    <xf borderId="0" fillId="3" fontId="2" numFmtId="3" xfId="0" applyAlignment="1" applyFont="1" applyNumberFormat="1">
      <alignment horizontal="center" shrinkToFit="0" vertical="center" wrapText="1"/>
    </xf>
    <xf borderId="0" fillId="3" fontId="2" numFmtId="166" xfId="0" applyAlignment="1" applyFont="1" applyNumberFormat="1">
      <alignment horizontal="center" shrinkToFit="0" vertical="center" wrapText="1"/>
    </xf>
    <xf borderId="0" fillId="0" fontId="18" numFmtId="1" xfId="0" applyAlignment="1" applyFont="1" applyNumberFormat="1">
      <alignment readingOrder="0"/>
    </xf>
    <xf borderId="0" fillId="0" fontId="18" numFmtId="3" xfId="0" applyFont="1" applyNumberFormat="1"/>
    <xf borderId="0" fillId="0" fontId="18" numFmtId="166" xfId="0" applyFont="1" applyNumberFormat="1"/>
    <xf borderId="23" fillId="14" fontId="19" numFmtId="0" xfId="0" applyAlignment="1" applyBorder="1" applyFill="1" applyFont="1">
      <alignment horizontal="center" readingOrder="0" shrinkToFit="0" vertical="bottom" wrapText="1"/>
    </xf>
    <xf borderId="23" fillId="14" fontId="19" numFmtId="3" xfId="0" applyAlignment="1" applyBorder="1" applyFont="1" applyNumberFormat="1">
      <alignment horizontal="center" shrinkToFit="0" vertical="bottom" wrapText="1"/>
    </xf>
    <xf borderId="0" fillId="14" fontId="19" numFmtId="166" xfId="0" applyAlignment="1" applyFont="1" applyNumberFormat="1">
      <alignment horizontal="center" readingOrder="0" shrinkToFit="0" vertical="bottom" wrapText="1"/>
    </xf>
    <xf borderId="0" fillId="6" fontId="8" numFmtId="0" xfId="0" applyAlignment="1" applyFont="1">
      <alignment horizontal="center" readingOrder="0" shrinkToFit="0" vertical="center" wrapText="1"/>
    </xf>
    <xf borderId="23" fillId="14" fontId="19" numFmtId="0" xfId="0" applyAlignment="1" applyBorder="1" applyFont="1">
      <alignment horizontal="center" shrinkToFit="0" vertical="bottom" wrapText="1"/>
    </xf>
    <xf borderId="24" fillId="14" fontId="19" numFmtId="0" xfId="0" applyAlignment="1" applyBorder="1" applyFont="1">
      <alignment horizontal="center" readingOrder="0" shrinkToFit="0" vertical="bottom" wrapText="1"/>
    </xf>
    <xf borderId="24" fillId="14" fontId="19" numFmtId="0" xfId="0" applyAlignment="1" applyBorder="1" applyFont="1">
      <alignment horizontal="center" shrinkToFit="0" vertical="bottom" wrapText="1"/>
    </xf>
    <xf borderId="0" fillId="14" fontId="19" numFmtId="0" xfId="0" applyAlignment="1" applyFont="1">
      <alignment horizontal="center" readingOrder="0" shrinkToFit="0" vertical="bottom" wrapText="1"/>
    </xf>
    <xf borderId="0" fillId="0" fontId="11" numFmtId="1" xfId="0" applyAlignment="1" applyFont="1" applyNumberFormat="1">
      <alignment readingOrder="0"/>
    </xf>
    <xf borderId="25" fillId="15" fontId="20" numFmtId="4" xfId="0" applyAlignment="1" applyBorder="1" applyFill="1" applyFont="1" applyNumberFormat="1">
      <alignment horizontal="right" readingOrder="0" vertical="bottom"/>
    </xf>
    <xf borderId="16" fillId="8" fontId="8" numFmtId="0" xfId="0" applyAlignment="1" applyBorder="1" applyFont="1">
      <alignment horizontal="center" readingOrder="0" shrinkToFit="0" wrapText="1"/>
    </xf>
    <xf borderId="25" fillId="0" fontId="20" numFmtId="3" xfId="0" applyAlignment="1" applyBorder="1" applyFont="1" applyNumberFormat="1">
      <alignment horizontal="right" vertical="bottom"/>
    </xf>
    <xf borderId="23" fillId="0" fontId="20" numFmtId="166" xfId="0" applyAlignment="1" applyBorder="1" applyFont="1" applyNumberFormat="1">
      <alignment horizontal="right" vertical="bottom"/>
    </xf>
    <xf borderId="26" fillId="9" fontId="11" numFmtId="165" xfId="0" applyAlignment="1" applyBorder="1" applyFont="1" applyNumberFormat="1">
      <alignment horizontal="center" shrinkToFit="0" wrapText="1"/>
    </xf>
    <xf borderId="25" fillId="0" fontId="11" numFmtId="4" xfId="0" applyAlignment="1" applyBorder="1" applyFont="1" applyNumberFormat="1">
      <alignment horizontal="right" vertical="bottom"/>
    </xf>
    <xf borderId="27" fillId="0" fontId="11" numFmtId="4" xfId="0" applyAlignment="1" applyBorder="1" applyFont="1" applyNumberFormat="1">
      <alignment horizontal="right" vertical="bottom"/>
    </xf>
    <xf borderId="27" fillId="0" fontId="11" numFmtId="10" xfId="0" applyAlignment="1" applyBorder="1" applyFont="1" applyNumberFormat="1">
      <alignment horizontal="right" vertical="bottom"/>
    </xf>
    <xf borderId="26" fillId="9" fontId="11" numFmtId="165" xfId="0" applyAlignment="1" applyBorder="1" applyFont="1" applyNumberFormat="1">
      <alignment horizontal="center" readingOrder="0" shrinkToFit="0" wrapText="1"/>
    </xf>
    <xf borderId="16" fillId="8" fontId="11" numFmtId="0" xfId="0" applyAlignment="1" applyBorder="1" applyFont="1">
      <alignment horizontal="left" readingOrder="0" shrinkToFit="0" wrapText="1"/>
    </xf>
    <xf borderId="0" fillId="8" fontId="11" numFmtId="0" xfId="0" applyAlignment="1" applyFont="1">
      <alignment horizontal="left" shrinkToFit="0" wrapText="1"/>
    </xf>
    <xf borderId="0" fillId="8" fontId="11" numFmtId="10" xfId="0" applyAlignment="1" applyFont="1" applyNumberFormat="1">
      <alignment horizontal="left" shrinkToFit="0" wrapText="1"/>
    </xf>
    <xf borderId="0" fillId="0" fontId="20" numFmtId="3" xfId="0" applyAlignment="1" applyFont="1" applyNumberFormat="1">
      <alignment horizontal="right" vertical="bottom"/>
    </xf>
    <xf borderId="0" fillId="0" fontId="20" numFmtId="166" xfId="0" applyAlignment="1" applyFont="1" applyNumberFormat="1">
      <alignment horizontal="right" vertical="bottom"/>
    </xf>
    <xf borderId="0" fillId="9" fontId="11" numFmtId="0" xfId="0" applyAlignment="1" applyFont="1">
      <alignment horizontal="center" readingOrder="0" shrinkToFit="0" wrapText="1"/>
    </xf>
    <xf borderId="0" fillId="11" fontId="11" numFmtId="0" xfId="0" applyAlignment="1" applyFont="1">
      <alignment horizontal="center" shrinkToFit="0" wrapText="1"/>
    </xf>
    <xf borderId="0" fillId="0" fontId="11" numFmtId="0" xfId="0" applyAlignment="1" applyFont="1">
      <alignment horizontal="right" vertical="bottom"/>
    </xf>
    <xf borderId="0" fillId="0" fontId="20" numFmtId="10" xfId="0" applyAlignment="1" applyFont="1" applyNumberFormat="1">
      <alignment horizontal="right" vertical="bottom"/>
    </xf>
    <xf borderId="0" fillId="0" fontId="16" numFmtId="166" xfId="0" applyFont="1" applyNumberFormat="1"/>
    <xf borderId="0" fillId="0" fontId="16" numFmtId="0" xfId="0" applyFont="1"/>
    <xf borderId="0" fillId="0" fontId="11" numFmtId="1" xfId="0" applyFont="1" applyNumberFormat="1"/>
    <xf borderId="0" fillId="0" fontId="11" numFmtId="166" xfId="0" applyFont="1" applyNumberFormat="1"/>
    <xf borderId="0" fillId="0" fontId="11" numFmtId="167" xfId="0" applyFont="1" applyNumberFormat="1"/>
    <xf borderId="0" fillId="0" fontId="17" numFmtId="1" xfId="0" applyAlignment="1" applyFont="1" applyNumberFormat="1">
      <alignment horizontal="center" readingOrder="0" shrinkToFit="0" vertical="center" wrapText="1"/>
    </xf>
    <xf borderId="0" fillId="0" fontId="17" numFmtId="4" xfId="0" applyAlignment="1" applyFont="1" applyNumberFormat="1">
      <alignment horizontal="center" readingOrder="0" shrinkToFit="0" vertical="center" wrapText="1"/>
    </xf>
    <xf borderId="0" fillId="0" fontId="18" numFmtId="168" xfId="0" applyAlignment="1" applyFont="1" applyNumberFormat="1">
      <alignment readingOrder="0"/>
    </xf>
    <xf borderId="0" fillId="0" fontId="18" numFmtId="169" xfId="0" applyFont="1" applyNumberFormat="1"/>
    <xf borderId="0" fillId="0" fontId="18" numFmtId="4" xfId="0" applyFont="1" applyNumberFormat="1"/>
    <xf borderId="0" fillId="0" fontId="18" numFmtId="167" xfId="0" applyFont="1" applyNumberFormat="1"/>
    <xf borderId="0" fillId="0" fontId="11" numFmtId="9" xfId="0" applyAlignment="1" applyFont="1" applyNumberFormat="1">
      <alignment horizontal="right" vertical="bottom"/>
    </xf>
    <xf borderId="0" fillId="16" fontId="11" numFmtId="9" xfId="0" applyAlignment="1" applyFill="1" applyFont="1" applyNumberFormat="1">
      <alignment horizontal="right" vertical="bottom"/>
    </xf>
    <xf borderId="0" fillId="16" fontId="11" numFmtId="9" xfId="0" applyAlignment="1" applyFont="1" applyNumberFormat="1">
      <alignment horizontal="right" readingOrder="0" vertical="bottom"/>
    </xf>
    <xf borderId="0" fillId="0" fontId="11" numFmtId="9" xfId="0" applyAlignment="1" applyFont="1" applyNumberFormat="1">
      <alignment horizontal="right" readingOrder="0" vertical="bottom"/>
    </xf>
    <xf borderId="0" fillId="8" fontId="11" numFmtId="0" xfId="0" applyAlignment="1" applyFont="1">
      <alignment horizontal="left" readingOrder="0" shrinkToFit="0" wrapText="1"/>
    </xf>
    <xf borderId="28" fillId="17" fontId="21" numFmtId="0" xfId="0" applyAlignment="1" applyBorder="1" applyFill="1" applyFont="1">
      <alignment horizontal="center" readingOrder="0" vertical="center"/>
    </xf>
    <xf borderId="28" fillId="17" fontId="21" numFmtId="0" xfId="0" applyAlignment="1" applyBorder="1" applyFont="1">
      <alignment horizontal="center" vertical="center"/>
    </xf>
    <xf borderId="28" fillId="17" fontId="21" numFmtId="0" xfId="0" applyAlignment="1" applyBorder="1" applyFont="1">
      <alignment shrinkToFit="0" vertical="center" wrapText="1"/>
    </xf>
    <xf borderId="28" fillId="17" fontId="21" numFmtId="165" xfId="0" applyAlignment="1" applyBorder="1" applyFont="1" applyNumberFormat="1">
      <alignment shrinkToFit="0" vertical="center" wrapText="1"/>
    </xf>
    <xf borderId="0" fillId="17" fontId="22" numFmtId="0" xfId="0" applyAlignment="1" applyFont="1">
      <alignment readingOrder="0"/>
    </xf>
    <xf borderId="0" fillId="17" fontId="22" numFmtId="0" xfId="0" applyAlignment="1" applyFont="1">
      <alignment horizontal="right" readingOrder="0"/>
    </xf>
    <xf borderId="0" fillId="17" fontId="23" numFmtId="0" xfId="0" applyAlignment="1" applyFont="1">
      <alignment horizontal="left" readingOrder="0"/>
    </xf>
    <xf borderId="0" fillId="17" fontId="23" numFmtId="0" xfId="0" applyAlignment="1" applyFont="1">
      <alignment horizontal="right" readingOrder="0"/>
    </xf>
    <xf borderId="0" fillId="0" fontId="16" numFmtId="0" xfId="0" applyAlignment="1" applyFont="1">
      <alignment readingOrder="0"/>
    </xf>
    <xf borderId="28" fillId="17" fontId="21" numFmtId="170" xfId="0" applyAlignment="1" applyBorder="1" applyFont="1" applyNumberFormat="1">
      <alignment shrinkToFit="0" vertical="center" wrapText="1"/>
    </xf>
    <xf borderId="28" fillId="17" fontId="21" numFmtId="0" xfId="0" applyAlignment="1" applyBorder="1" applyFont="1">
      <alignment readingOrder="0" shrinkToFit="0" vertical="center" wrapText="1"/>
    </xf>
    <xf borderId="28" fillId="17" fontId="21" numFmtId="10" xfId="0" applyAlignment="1" applyBorder="1" applyFont="1" applyNumberFormat="1">
      <alignment shrinkToFit="0" vertical="center" wrapText="1"/>
    </xf>
    <xf borderId="28" fillId="17" fontId="21" numFmtId="164" xfId="0" applyAlignment="1" applyBorder="1" applyFont="1" applyNumberFormat="1">
      <alignment shrinkToFit="0" vertical="center" wrapText="1"/>
    </xf>
    <xf borderId="28" fillId="17" fontId="21" numFmtId="3" xfId="0" applyAlignment="1" applyBorder="1" applyFont="1" applyNumberFormat="1">
      <alignment shrinkToFit="0" vertical="center" wrapText="1"/>
    </xf>
    <xf borderId="4" fillId="17" fontId="21" numFmtId="0" xfId="0" applyAlignment="1" applyBorder="1" applyFont="1">
      <alignment shrinkToFit="0" vertical="center" wrapText="1"/>
    </xf>
    <xf borderId="0" fillId="0" fontId="21" numFmtId="10" xfId="0" applyAlignment="1" applyFont="1" applyNumberFormat="1">
      <alignment horizontal="right" readingOrder="0" shrinkToFit="0" vertical="center" wrapText="1"/>
    </xf>
    <xf borderId="0" fillId="0" fontId="21" numFmtId="0" xfId="0" applyAlignment="1" applyFont="1">
      <alignment readingOrder="0" shrinkToFit="0" vertical="center" wrapText="1"/>
    </xf>
    <xf borderId="0" fillId="0" fontId="21" numFmtId="0" xfId="0" applyAlignment="1" applyFont="1">
      <alignment horizontal="right" shrinkToFit="0" vertical="center" wrapText="1"/>
    </xf>
    <xf borderId="0" fillId="0" fontId="21" numFmtId="166" xfId="0" applyAlignment="1" applyFont="1" applyNumberFormat="1">
      <alignment horizontal="right" readingOrder="0" shrinkToFit="0" vertical="center" wrapText="1"/>
    </xf>
    <xf borderId="0" fillId="0" fontId="21" numFmtId="10" xfId="0" applyAlignment="1" applyFont="1" applyNumberFormat="1">
      <alignment horizontal="right" shrinkToFit="0" vertical="center" wrapText="1"/>
    </xf>
    <xf borderId="0" fillId="0" fontId="21" numFmtId="9" xfId="0" applyAlignment="1" applyFont="1" applyNumberFormat="1">
      <alignment horizontal="right" readingOrder="0" shrinkToFit="0" vertical="center" wrapText="1"/>
    </xf>
    <xf borderId="0" fillId="0" fontId="21" numFmtId="0" xfId="0" applyAlignment="1" applyFont="1">
      <alignment shrinkToFit="0" vertical="center" wrapText="1"/>
    </xf>
    <xf borderId="29" fillId="0" fontId="21" numFmtId="165" xfId="0" applyAlignment="1" applyBorder="1" applyFont="1" applyNumberFormat="1">
      <alignment readingOrder="0" shrinkToFit="0" vertical="center" wrapText="1"/>
    </xf>
    <xf borderId="0" fillId="17" fontId="24" numFmtId="0" xfId="0" applyAlignment="1" applyFont="1">
      <alignment horizontal="center" readingOrder="0"/>
    </xf>
    <xf borderId="0" fillId="17" fontId="24" numFmtId="0" xfId="0" applyAlignment="1" applyFont="1">
      <alignment horizontal="right" readingOrder="0"/>
    </xf>
    <xf borderId="0" fillId="0" fontId="25" numFmtId="4" xfId="0" applyAlignment="1" applyFont="1" applyNumberFormat="1">
      <alignment shrinkToFit="0" vertical="bottom" wrapText="0"/>
    </xf>
    <xf borderId="0" fillId="0" fontId="25" numFmtId="0" xfId="0" applyAlignment="1" applyFont="1">
      <alignment shrinkToFit="0" vertical="bottom" wrapText="0"/>
    </xf>
    <xf borderId="0" fillId="17" fontId="26" numFmtId="0" xfId="0" applyAlignment="1" applyFont="1">
      <alignment readingOrder="0"/>
    </xf>
    <xf borderId="0" fillId="17" fontId="26" numFmtId="0" xfId="0" applyAlignment="1" applyFont="1">
      <alignment horizontal="right" readingOrder="0"/>
    </xf>
    <xf borderId="0" fillId="0" fontId="25" numFmtId="171" xfId="0" applyAlignment="1" applyFont="1" applyNumberFormat="1">
      <alignment readingOrder="0" shrinkToFit="0" vertical="bottom" wrapText="0"/>
    </xf>
    <xf borderId="0" fillId="0" fontId="25" numFmtId="172" xfId="0" applyAlignment="1" applyFont="1" applyNumberFormat="1">
      <alignment readingOrder="0"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16" numFmtId="4" xfId="0" applyFont="1" applyNumberFormat="1"/>
    <xf borderId="28" fillId="17" fontId="21" numFmtId="173" xfId="0" applyAlignment="1" applyBorder="1" applyFont="1" applyNumberFormat="1">
      <alignment readingOrder="0" shrinkToFit="0" vertical="center" wrapText="1"/>
    </xf>
    <xf borderId="28" fillId="17" fontId="21" numFmtId="10" xfId="0" applyAlignment="1" applyBorder="1" applyFont="1" applyNumberFormat="1">
      <alignment readingOrder="0" shrinkToFit="0" vertical="center" wrapText="1"/>
    </xf>
    <xf borderId="28" fillId="17" fontId="21" numFmtId="166" xfId="0" applyAlignment="1" applyBorder="1" applyFont="1" applyNumberFormat="1">
      <alignment readingOrder="0" shrinkToFit="0" vertical="center" wrapText="1"/>
    </xf>
    <xf borderId="28" fillId="17" fontId="21" numFmtId="164" xfId="0" applyAlignment="1" applyBorder="1" applyFont="1" applyNumberFormat="1">
      <alignment readingOrder="0" shrinkToFit="0" vertical="center" wrapText="1"/>
    </xf>
    <xf borderId="28" fillId="17" fontId="21" numFmtId="3" xfId="0" applyAlignment="1" applyBorder="1" applyFont="1" applyNumberFormat="1">
      <alignment readingOrder="0" shrinkToFit="0" vertical="center" wrapText="1"/>
    </xf>
    <xf borderId="0" fillId="0" fontId="21" numFmtId="0" xfId="0" applyAlignment="1" applyFont="1">
      <alignment horizontal="right" readingOrder="0" shrinkToFit="0" vertical="center" wrapText="1"/>
    </xf>
    <xf borderId="0" fillId="0" fontId="21" numFmtId="173" xfId="0" applyAlignment="1" applyFont="1" applyNumberFormat="1">
      <alignment horizontal="right" readingOrder="0" shrinkToFit="0" vertical="center" wrapText="1"/>
    </xf>
    <xf borderId="0" fillId="0" fontId="21" numFmtId="165" xfId="0" applyAlignment="1" applyFont="1" applyNumberFormat="1">
      <alignment readingOrder="0"/>
    </xf>
    <xf borderId="0" fillId="0" fontId="21" numFmtId="165" xfId="0" applyFont="1" applyNumberFormat="1"/>
    <xf borderId="0" fillId="0" fontId="21" numFmtId="10" xfId="0" applyAlignment="1" applyFont="1" applyNumberFormat="1">
      <alignment readingOrder="0"/>
    </xf>
    <xf borderId="0" fillId="0" fontId="21" numFmtId="10" xfId="0" applyFont="1" applyNumberFormat="1"/>
    <xf borderId="28" fillId="17" fontId="21" numFmtId="4" xfId="0" applyAlignment="1" applyBorder="1" applyFont="1" applyNumberFormat="1">
      <alignment shrinkToFit="0" vertical="center" wrapText="1"/>
    </xf>
    <xf borderId="0" fillId="0" fontId="21" numFmtId="166" xfId="0" applyAlignment="1" applyFont="1" applyNumberFormat="1">
      <alignment horizontal="right" shrinkToFit="0" vertical="center" wrapText="1"/>
    </xf>
    <xf borderId="30" fillId="17" fontId="21" numFmtId="165" xfId="0" applyAlignment="1" applyBorder="1" applyFont="1" applyNumberFormat="1">
      <alignment horizontal="right" shrinkToFit="0" wrapText="1"/>
    </xf>
    <xf borderId="28" fillId="17" fontId="21" numFmtId="9" xfId="0" applyAlignment="1" applyBorder="1" applyFont="1" applyNumberFormat="1">
      <alignment shrinkToFit="0" vertical="center" wrapText="1"/>
    </xf>
    <xf borderId="0" fillId="0" fontId="25" numFmtId="0" xfId="0" applyAlignment="1" applyFont="1">
      <alignment horizontal="right" readingOrder="0" shrinkToFit="0" vertical="bottom" wrapText="0"/>
    </xf>
    <xf borderId="28" fillId="17" fontId="21" numFmtId="4" xfId="0" applyAlignment="1" applyBorder="1" applyFont="1" applyNumberFormat="1">
      <alignment readingOrder="0" shrinkToFit="0" vertical="center" wrapText="1"/>
    </xf>
    <xf borderId="0" fillId="0" fontId="11" numFmtId="171" xfId="0" applyAlignment="1" applyFont="1" applyNumberFormat="1">
      <alignment horizontal="right" vertical="bottom"/>
    </xf>
    <xf borderId="0" fillId="0" fontId="11" numFmtId="172" xfId="0" applyAlignment="1" applyFont="1" applyNumberFormat="1">
      <alignment vertical="bottom"/>
    </xf>
    <xf borderId="0" fillId="0" fontId="11" numFmtId="0" xfId="0" applyAlignment="1" applyFont="1">
      <alignment vertical="bottom"/>
    </xf>
    <xf borderId="28" fillId="17" fontId="21" numFmtId="168" xfId="0" applyAlignment="1" applyBorder="1" applyFont="1" applyNumberFormat="1">
      <alignment shrinkToFit="0" vertical="center" wrapText="1"/>
    </xf>
    <xf borderId="0" fillId="17" fontId="27" numFmtId="0" xfId="0" applyAlignment="1" applyFont="1">
      <alignment readingOrder="0"/>
    </xf>
    <xf borderId="0" fillId="17" fontId="28" numFmtId="0" xfId="0" applyAlignment="1" applyFont="1">
      <alignment horizontal="left" readingOrder="0"/>
    </xf>
    <xf borderId="0" fillId="0" fontId="16" numFmtId="174" xfId="0" applyAlignment="1" applyFont="1" applyNumberFormat="1">
      <alignment readingOrder="0"/>
    </xf>
    <xf borderId="0" fillId="0" fontId="16" numFmtId="0" xfId="0" applyFont="1"/>
    <xf borderId="0" fillId="0" fontId="16" numFmtId="174" xfId="0" applyFont="1" applyNumberFormat="1"/>
    <xf borderId="0" fillId="0" fontId="16" numFmtId="0" xfId="0" applyAlignment="1" applyFont="1">
      <alignment readingOrder="0"/>
    </xf>
    <xf borderId="0" fillId="0" fontId="16" numFmtId="0" xfId="0" applyFont="1"/>
    <xf borderId="0" fillId="0" fontId="16" numFmtId="164" xfId="0" applyAlignment="1" applyFont="1" applyNumberFormat="1">
      <alignment readingOrder="0"/>
    </xf>
    <xf borderId="0" fillId="0" fontId="16" numFmtId="10" xfId="0" applyAlignment="1" applyFont="1" applyNumberFormat="1">
      <alignment readingOrder="0"/>
    </xf>
    <xf borderId="0" fillId="0" fontId="16" numFmtId="10" xfId="0" applyFont="1" applyNumberFormat="1"/>
    <xf borderId="0" fillId="0" fontId="16" numFmtId="165" xfId="0" applyAlignment="1" applyFont="1" applyNumberFormat="1">
      <alignment readingOrder="0"/>
    </xf>
    <xf borderId="0" fillId="0" fontId="16" numFmtId="165" xfId="0" applyFont="1" applyNumberForma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FF0000"/>
      </font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 patternType="solid">
          <fgColor rgb="FFD6F9FF"/>
          <bgColor rgb="FFD6F9FF"/>
        </patternFill>
      </fill>
      <border/>
    </dxf>
  </dxfs>
  <tableStyles count="6">
    <tableStyle count="3" pivot="0" name="GENERAL-style">
      <tableStyleElement dxfId="1" type="headerRow"/>
      <tableStyleElement dxfId="2" type="firstRowStripe"/>
      <tableStyleElement dxfId="2" type="secondRowStripe"/>
    </tableStyle>
    <tableStyle count="3" pivot="0" name="GENERAL-style 2">
      <tableStyleElement dxfId="3" type="headerRow"/>
      <tableStyleElement dxfId="4" type="firstRowStripe"/>
      <tableStyleElement dxfId="5" type="secondRowStripe"/>
    </tableStyle>
    <tableStyle count="2" pivot="0" name="COMPRAS-style">
      <tableStyleElement dxfId="2" type="firstRowStripe"/>
      <tableStyleElement dxfId="2" type="secondRowStripe"/>
    </tableStyle>
    <tableStyle count="2" pivot="0" name="SEGMENTOS-style">
      <tableStyleElement dxfId="2" type="firstRowStripe"/>
      <tableStyleElement dxfId="2" type="secondRowStripe"/>
    </tableStyle>
    <tableStyle count="2" pivot="0" name="SEGMENTOS-style 2">
      <tableStyleElement dxfId="2" type="firstRowStripe"/>
      <tableStyleElement dxfId="2" type="secondRowStripe"/>
    </tableStyle>
    <tableStyle count="2" pivot="0" name="SEGMENTOS-style 3"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47" Type="http://schemas.openxmlformats.org/officeDocument/2006/relationships/worksheet" Target="worksheets/sheet43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Participación en Portafolio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GENERAL!$D$9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rgbClr val="B4C7E7"/>
              </a:solidFill>
            </c:spPr>
          </c:dPt>
          <c:dPt>
            <c:idx val="13"/>
            <c:spPr>
              <a:solidFill>
                <a:srgbClr val="F8CBAD"/>
              </a:solidFill>
            </c:spPr>
          </c:dPt>
          <c:dPt>
            <c:idx val="14"/>
            <c:spPr>
              <a:solidFill>
                <a:srgbClr val="DBDBDB"/>
              </a:solidFill>
            </c:spPr>
          </c:dPt>
          <c:dPt>
            <c:idx val="15"/>
            <c:spPr>
              <a:solidFill>
                <a:srgbClr val="FFE699"/>
              </a:solidFill>
            </c:spPr>
          </c:dPt>
          <c:dPt>
            <c:idx val="16"/>
            <c:spPr>
              <a:solidFill>
                <a:srgbClr val="BDD7EE"/>
              </a:solidFill>
            </c:spPr>
          </c:dPt>
          <c:dPt>
            <c:idx val="17"/>
            <c:spPr>
              <a:solidFill>
                <a:srgbClr val="C6DEB5"/>
              </a:solidFill>
            </c:spPr>
          </c:dPt>
          <c:dPt>
            <c:idx val="18"/>
            <c:spPr>
              <a:solidFill>
                <a:srgbClr val="ECF1F9"/>
              </a:solidFill>
            </c:spPr>
          </c:dPt>
          <c:dPt>
            <c:idx val="19"/>
            <c:spPr>
              <a:solidFill>
                <a:srgbClr val="FDF2EA"/>
              </a:solidFill>
            </c:spPr>
          </c:dPt>
          <c:dPt>
            <c:idx val="20"/>
            <c:spPr>
              <a:solidFill>
                <a:srgbClr val="F6F6F6"/>
              </a:solidFill>
            </c:spPr>
          </c:dPt>
          <c:dPt>
            <c:idx val="21"/>
            <c:spPr>
              <a:solidFill>
                <a:srgbClr val="FFF9E6"/>
              </a:solidFill>
            </c:spPr>
          </c:dPt>
          <c:dPt>
            <c:idx val="22"/>
            <c:spPr>
              <a:solidFill>
                <a:srgbClr val="EFF5FB"/>
              </a:solidFill>
            </c:spPr>
          </c:dPt>
          <c:dPt>
            <c:idx val="2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GENERAL!$B$10:$B$33</c:f>
            </c:strRef>
          </c:cat>
          <c:val>
            <c:numRef>
              <c:f>GENERAL!$D$10:$D$33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DIVIDENDOS!$E$1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DIVIDENDOS!$A$2:$A$100</c:f>
            </c:strRef>
          </c:cat>
          <c:val>
            <c:numRef>
              <c:f>DIVIDENDOS!$E$2:$E$100</c:f>
              <c:numCache/>
            </c:numRef>
          </c:val>
        </c:ser>
        <c:axId val="1230638849"/>
        <c:axId val="241139263"/>
      </c:barChart>
      <c:catAx>
        <c:axId val="1230638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1139263"/>
      </c:catAx>
      <c:valAx>
        <c:axId val="241139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06388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SEGMENTOS!$C$2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rgbClr val="B4C7E7"/>
              </a:solidFill>
            </c:spPr>
          </c:dPt>
          <c:dPt>
            <c:idx val="13"/>
            <c:spPr>
              <a:solidFill>
                <a:srgbClr val="F8CBAD"/>
              </a:solidFill>
            </c:spPr>
          </c:dPt>
          <c:dPt>
            <c:idx val="14"/>
            <c:spPr>
              <a:solidFill>
                <a:srgbClr val="DBDBDB"/>
              </a:solidFill>
            </c:spPr>
          </c:dPt>
          <c:dPt>
            <c:idx val="15"/>
            <c:spPr>
              <a:solidFill>
                <a:srgbClr val="FFE699"/>
              </a:solidFill>
            </c:spPr>
          </c:dPt>
          <c:dPt>
            <c:idx val="16"/>
            <c:spPr>
              <a:solidFill>
                <a:srgbClr val="BDD7EE"/>
              </a:solidFill>
            </c:spPr>
          </c:dPt>
          <c:dPt>
            <c:idx val="17"/>
            <c:spPr>
              <a:solidFill>
                <a:srgbClr val="C6DEB5"/>
              </a:solidFill>
            </c:spPr>
          </c:dPt>
          <c:dPt>
            <c:idx val="18"/>
            <c:spPr>
              <a:solidFill>
                <a:srgbClr val="ECF1F9"/>
              </a:solidFill>
            </c:spPr>
          </c:dPt>
          <c:dPt>
            <c:idx val="19"/>
            <c:spPr>
              <a:solidFill>
                <a:srgbClr val="FDF2EA"/>
              </a:solidFill>
            </c:spPr>
          </c:dPt>
          <c:dPt>
            <c:idx val="20"/>
            <c:spPr>
              <a:solidFill>
                <a:srgbClr val="F6F6F6"/>
              </a:solidFill>
            </c:spPr>
          </c:dPt>
          <c:dPt>
            <c:idx val="21"/>
            <c:spPr>
              <a:solidFill>
                <a:srgbClr val="FFF9E6"/>
              </a:solidFill>
            </c:spPr>
          </c:dPt>
          <c:dPt>
            <c:idx val="22"/>
            <c:spPr>
              <a:solidFill>
                <a:srgbClr val="EFF5FB"/>
              </a:solidFill>
            </c:spPr>
          </c:dPt>
          <c:dPt>
            <c:idx val="23"/>
            <c:spPr>
              <a:solidFill>
                <a:srgbClr val="F1F7E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SEGMENTOS!$B$3:$B$26</c:f>
            </c:strRef>
          </c:cat>
          <c:val>
            <c:numRef>
              <c:f>SEGMENTOS!$C$3:$C$26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40</xdr:row>
      <xdr:rowOff>57150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942975</xdr:colOff>
      <xdr:row>40</xdr:row>
      <xdr:rowOff>57150</xdr:rowOff>
    </xdr:from>
    <xdr:ext cx="8867775" cy="102393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47625</xdr:colOff>
      <xdr:row>9</xdr:row>
      <xdr:rowOff>9525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27</xdr:row>
      <xdr:rowOff>161925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8:B33" displayName="Table_1" name="Table_1" id="1">
  <tableColumns count="1">
    <tableColumn name="FIBRA" id="1"/>
  </tableColumns>
  <tableStyleInfo name="GENERAL-style" showColumnStripes="0" showFirstColumn="1" showLastColumn="1" showRowStripes="1"/>
</table>
</file>

<file path=xl/tables/table2.xml><?xml version="1.0" encoding="utf-8"?>
<table xmlns="http://schemas.openxmlformats.org/spreadsheetml/2006/main" headerRowCount="0" ref="N10:N30" displayName="Table_2" name="Table_2" id="2">
  <tableColumns count="1">
    <tableColumn name="Column1" id="1"/>
  </tableColumns>
  <tableStyleInfo name="GENERA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L7:Y31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OMPRAS-style" showColumnStripes="0" showFirstColumn="1" showLastColumn="1" showRowStripes="1"/>
</table>
</file>

<file path=xl/tables/table4.xml><?xml version="1.0" encoding="utf-8"?>
<table xmlns="http://schemas.openxmlformats.org/spreadsheetml/2006/main" headerRowCount="0" ref="B3:N26" displayName="Table_4" name="Table_4" id="4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EGMENTOS-style" showColumnStripes="0" showFirstColumn="1" showLastColumn="1" showRowStripes="1"/>
</table>
</file>

<file path=xl/tables/table5.xml><?xml version="1.0" encoding="utf-8"?>
<table xmlns="http://schemas.openxmlformats.org/spreadsheetml/2006/main" headerRowCount="0" ref="O3:AA23" displayName="Table_5" name="Table_5" id="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EGMENTOS-style 2" showColumnStripes="0" showFirstColumn="1" showLastColumn="1" showRowStripes="1"/>
</table>
</file>

<file path=xl/tables/table6.xml><?xml version="1.0" encoding="utf-8"?>
<table xmlns="http://schemas.openxmlformats.org/spreadsheetml/2006/main" headerRowCount="0" ref="O24:AA26" displayName="Table_6" name="Table_6" id="6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EGMENTO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hipo.com/" TargetMode="External"/><Relationship Id="rId2" Type="http://schemas.openxmlformats.org/officeDocument/2006/relationships/hyperlink" Target="https://www.fibramty.com/" TargetMode="External"/><Relationship Id="rId3" Type="http://schemas.openxmlformats.org/officeDocument/2006/relationships/hyperlink" Target="http://fibra-upsite.com/" TargetMode="External"/><Relationship Id="rId4" Type="http://schemas.openxmlformats.org/officeDocument/2006/relationships/hyperlink" Target="https://www.telesites.com.mx/" TargetMode="Externa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5" Type="http://schemas.openxmlformats.org/officeDocument/2006/relationships/hyperlink" Target="https://fibraexi.com/" TargetMode="External"/><Relationship Id="rId6" Type="http://schemas.openxmlformats.org/officeDocument/2006/relationships/hyperlink" Target="https://agrofibra.com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fibra-upsite.com/" TargetMode="External"/><Relationship Id="rId2" Type="http://schemas.openxmlformats.org/officeDocument/2006/relationships/hyperlink" Target="https://www.telesites.com.mx/" TargetMode="External"/><Relationship Id="rId3" Type="http://schemas.openxmlformats.org/officeDocument/2006/relationships/hyperlink" Target="https://fibraexi.com/" TargetMode="External"/><Relationship Id="rId4" Type="http://schemas.openxmlformats.org/officeDocument/2006/relationships/drawing" Target="../drawings/drawing2.xml"/><Relationship Id="rId6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fibra-upsite.com/" TargetMode="External"/><Relationship Id="rId2" Type="http://schemas.openxmlformats.org/officeDocument/2006/relationships/hyperlink" Target="https://www.telesites.com.mx/" TargetMode="External"/><Relationship Id="rId3" Type="http://schemas.openxmlformats.org/officeDocument/2006/relationships/hyperlink" Target="https://fibraexi.com/" TargetMode="External"/><Relationship Id="rId4" Type="http://schemas.openxmlformats.org/officeDocument/2006/relationships/drawing" Target="../drawings/drawing4.xml"/><Relationship Id="rId10" Type="http://schemas.openxmlformats.org/officeDocument/2006/relationships/table" Target="../tables/table6.xml"/><Relationship Id="rId9" Type="http://schemas.openxmlformats.org/officeDocument/2006/relationships/table" Target="../tables/table5.xml"/><Relationship Id="rId8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2.43"/>
    <col customWidth="1" min="2" max="2" width="22.14"/>
    <col customWidth="1" min="3" max="3" width="13.29"/>
    <col customWidth="1" min="4" max="4" width="10.71"/>
    <col customWidth="1" min="5" max="5" width="12.43"/>
    <col customWidth="1" min="6" max="7" width="10.71"/>
    <col customWidth="1" min="8" max="8" width="12.71"/>
    <col customWidth="1" min="9" max="10" width="14.14"/>
    <col customWidth="1" min="11" max="15" width="10.71"/>
    <col customWidth="1" min="16" max="16" width="10.43"/>
    <col customWidth="1" min="17" max="17" width="9.29"/>
    <col customWidth="1" min="18" max="19" width="13.14"/>
    <col customWidth="1" min="20" max="21" width="10.86"/>
    <col customWidth="1" min="22" max="27" width="10.71"/>
    <col customWidth="1" min="28" max="28" width="11.71"/>
    <col customWidth="1" min="29" max="29" width="10.71"/>
    <col customWidth="1" min="30" max="31" width="11.14"/>
    <col customWidth="1" min="32" max="41" width="10.71"/>
    <col customWidth="1" min="42" max="42" width="12.71"/>
    <col customWidth="1" min="43" max="48" width="10.71"/>
  </cols>
  <sheetData>
    <row r="1" ht="6.0" customHeight="1">
      <c r="A1" s="1"/>
      <c r="B1" s="1"/>
      <c r="C1" s="1"/>
      <c r="D1" s="1"/>
      <c r="E1" s="1"/>
      <c r="F1" s="1"/>
      <c r="G1" s="1"/>
      <c r="H1" s="2"/>
      <c r="I1" s="2"/>
      <c r="J1" s="2"/>
      <c r="K1" s="1"/>
      <c r="L1" s="1"/>
      <c r="M1" s="1"/>
      <c r="N1" s="1"/>
      <c r="O1" s="1"/>
      <c r="P1" s="1"/>
      <c r="Q1" s="1"/>
      <c r="R1" s="1"/>
      <c r="S1" s="3"/>
      <c r="T1" s="1"/>
      <c r="U1" s="1"/>
      <c r="V1" s="1"/>
      <c r="W1" s="1"/>
      <c r="X1" s="1"/>
      <c r="Y1" s="1"/>
      <c r="Z1" s="1"/>
      <c r="AA1" s="1"/>
      <c r="AB1" s="1"/>
      <c r="AC1" s="1"/>
      <c r="AD1" s="4"/>
      <c r="AE1" s="4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19.5" customHeight="1">
      <c r="A2" s="1"/>
      <c r="B2" s="5" t="s">
        <v>0</v>
      </c>
      <c r="C2" s="6">
        <f>SUM(L:L)</f>
        <v>11000.58645</v>
      </c>
      <c r="D2" s="1"/>
      <c r="E2" s="7" t="s">
        <v>1</v>
      </c>
      <c r="F2" s="8"/>
      <c r="G2" s="9">
        <f>SUM(AB13:AB1001)</f>
        <v>1.301621317</v>
      </c>
      <c r="H2" s="2"/>
      <c r="I2" s="2"/>
      <c r="J2" s="7" t="s">
        <v>2</v>
      </c>
      <c r="K2" s="8"/>
      <c r="L2" s="10"/>
      <c r="M2" s="10"/>
      <c r="N2" s="9">
        <f>SUM(AP13:AP1001)</f>
        <v>0.04968927411</v>
      </c>
      <c r="O2" s="11"/>
      <c r="R2" s="7" t="s">
        <v>3</v>
      </c>
      <c r="S2" s="8"/>
      <c r="T2" s="10"/>
      <c r="U2" s="10"/>
      <c r="V2" s="6">
        <f>SUM(AN13:AN1001)</f>
        <v>360.100944</v>
      </c>
      <c r="W2" s="12"/>
      <c r="Z2" s="13" t="s">
        <v>4</v>
      </c>
      <c r="AA2" s="8"/>
      <c r="AB2" s="10"/>
      <c r="AC2" s="10"/>
      <c r="AD2" s="6">
        <f>SUM(DIVIDENDOS!D:D)</f>
        <v>39.773589</v>
      </c>
      <c r="AE2" s="12"/>
      <c r="AF2" s="12"/>
      <c r="AG2" s="1"/>
      <c r="AH2" s="1"/>
      <c r="AI2" s="13" t="s">
        <v>5</v>
      </c>
      <c r="AJ2" s="8"/>
      <c r="AK2" s="14"/>
      <c r="AL2" s="10"/>
      <c r="AM2" s="10"/>
      <c r="AN2" s="9">
        <f>((V2*100)/C2)/100</f>
        <v>0.03273470425</v>
      </c>
      <c r="AO2" s="11"/>
      <c r="AP2" s="12"/>
      <c r="AQ2" s="1"/>
      <c r="AR2" s="1"/>
      <c r="AS2" s="1"/>
      <c r="AT2" s="1"/>
      <c r="AU2" s="1"/>
      <c r="AV2" s="1"/>
    </row>
    <row r="3" ht="24.0" customHeight="1">
      <c r="A3" s="1"/>
      <c r="B3" s="15"/>
      <c r="C3" s="15"/>
      <c r="D3" s="1"/>
      <c r="E3" s="16"/>
      <c r="F3" s="17"/>
      <c r="G3" s="15"/>
      <c r="H3" s="2"/>
      <c r="I3" s="2"/>
      <c r="J3" s="16"/>
      <c r="K3" s="17"/>
      <c r="L3" s="10"/>
      <c r="M3" s="10"/>
      <c r="N3" s="15"/>
      <c r="O3" s="11"/>
      <c r="R3" s="16"/>
      <c r="S3" s="17"/>
      <c r="T3" s="10"/>
      <c r="U3" s="10"/>
      <c r="V3" s="15"/>
      <c r="W3" s="12"/>
      <c r="Z3" s="16"/>
      <c r="AA3" s="17"/>
      <c r="AB3" s="10"/>
      <c r="AC3" s="10"/>
      <c r="AD3" s="15"/>
      <c r="AE3" s="12"/>
      <c r="AF3" s="12"/>
      <c r="AG3" s="1"/>
      <c r="AH3" s="1"/>
      <c r="AI3" s="16"/>
      <c r="AJ3" s="17"/>
      <c r="AK3" s="14"/>
      <c r="AL3" s="10"/>
      <c r="AM3" s="10"/>
      <c r="AN3" s="15"/>
      <c r="AO3" s="11"/>
      <c r="AP3" s="12"/>
      <c r="AQ3" s="1"/>
      <c r="AR3" s="1"/>
      <c r="AS3" s="1"/>
      <c r="AT3" s="1"/>
      <c r="AU3" s="1"/>
      <c r="AV3" s="1"/>
    </row>
    <row r="4" ht="13.5" customHeight="1">
      <c r="A4" s="1"/>
      <c r="B4" s="1"/>
      <c r="C4" s="1"/>
      <c r="D4" s="1"/>
      <c r="E4" s="1"/>
      <c r="F4" s="1"/>
      <c r="G4" s="1"/>
      <c r="H4" s="2"/>
      <c r="I4" s="2"/>
      <c r="J4" s="1"/>
      <c r="K4" s="1"/>
      <c r="L4" s="1"/>
      <c r="M4" s="1"/>
      <c r="N4" s="1"/>
      <c r="O4" s="1"/>
      <c r="R4" s="1"/>
      <c r="S4" s="3"/>
      <c r="T4" s="1"/>
      <c r="U4" s="1"/>
      <c r="V4" s="1"/>
      <c r="W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17.25" customHeight="1">
      <c r="A5" s="1"/>
      <c r="B5" s="5" t="s">
        <v>6</v>
      </c>
      <c r="C5" s="6" t="str">
        <f>SUM(M:M)</f>
        <v>#N/A</v>
      </c>
      <c r="D5" s="1"/>
      <c r="E5" s="7" t="s">
        <v>7</v>
      </c>
      <c r="F5" s="8"/>
      <c r="G5" s="6">
        <f>SUM(AD13:AD1001)</f>
        <v>1205.873799</v>
      </c>
      <c r="H5" s="6">
        <f>SUM(COMPRAS!I:I)</f>
        <v>-34.0099</v>
      </c>
      <c r="I5" s="6">
        <f>G5+H5</f>
        <v>1171.863899</v>
      </c>
      <c r="J5" s="7" t="s">
        <v>8</v>
      </c>
      <c r="K5" s="8"/>
      <c r="L5" s="10"/>
      <c r="M5" s="10"/>
      <c r="N5" s="9">
        <f>N2*0.7</f>
        <v>0.03478249188</v>
      </c>
      <c r="O5" s="11"/>
      <c r="R5" s="7" t="s">
        <v>9</v>
      </c>
      <c r="S5" s="8"/>
      <c r="T5" s="10"/>
      <c r="U5" s="10"/>
      <c r="V5" s="6">
        <f>V2*0.7</f>
        <v>252.0706608</v>
      </c>
      <c r="W5" s="12"/>
      <c r="Z5" s="13" t="s">
        <v>10</v>
      </c>
      <c r="AA5" s="8"/>
      <c r="AB5" s="10"/>
      <c r="AC5" s="10"/>
      <c r="AD5" s="6">
        <f>SUM(DIVIDENDOS!E:E)</f>
        <v>31.0395831</v>
      </c>
      <c r="AE5" s="12"/>
      <c r="AF5" s="12"/>
      <c r="AG5" s="1"/>
      <c r="AH5" s="1"/>
      <c r="AI5" s="13" t="s">
        <v>11</v>
      </c>
      <c r="AJ5" s="8"/>
      <c r="AK5" s="14"/>
      <c r="AL5" s="10"/>
      <c r="AM5" s="10"/>
      <c r="AN5" s="9">
        <f>((V5*100)/C2)/100</f>
        <v>0.02291429298</v>
      </c>
      <c r="AO5" s="11"/>
      <c r="AP5" s="12"/>
      <c r="AQ5" s="1"/>
      <c r="AR5" s="1"/>
      <c r="AS5" s="1"/>
      <c r="AT5" s="1"/>
      <c r="AU5" s="1"/>
      <c r="AV5" s="1"/>
    </row>
    <row r="6" ht="22.5" customHeight="1">
      <c r="A6" s="1"/>
      <c r="B6" s="15"/>
      <c r="C6" s="15"/>
      <c r="D6" s="1"/>
      <c r="E6" s="16"/>
      <c r="F6" s="17"/>
      <c r="G6" s="15"/>
      <c r="H6" s="15"/>
      <c r="I6" s="15"/>
      <c r="J6" s="16"/>
      <c r="K6" s="17"/>
      <c r="L6" s="10"/>
      <c r="M6" s="10"/>
      <c r="N6" s="15"/>
      <c r="O6" s="11"/>
      <c r="R6" s="16"/>
      <c r="S6" s="17"/>
      <c r="T6" s="10"/>
      <c r="U6" s="10"/>
      <c r="V6" s="15"/>
      <c r="W6" s="12"/>
      <c r="Z6" s="16"/>
      <c r="AA6" s="17"/>
      <c r="AB6" s="10"/>
      <c r="AC6" s="10"/>
      <c r="AD6" s="15"/>
      <c r="AE6" s="12"/>
      <c r="AF6" s="12"/>
      <c r="AG6" s="1"/>
      <c r="AH6" s="1"/>
      <c r="AI6" s="16"/>
      <c r="AJ6" s="17"/>
      <c r="AK6" s="14"/>
      <c r="AL6" s="10"/>
      <c r="AM6" s="10"/>
      <c r="AN6" s="15"/>
      <c r="AO6" s="11"/>
      <c r="AP6" s="12"/>
      <c r="AQ6" s="1"/>
      <c r="AR6" s="1"/>
      <c r="AS6" s="1"/>
      <c r="AT6" s="1"/>
      <c r="AU6" s="1"/>
      <c r="AV6" s="1"/>
    </row>
    <row r="7" ht="13.5" customHeight="1">
      <c r="A7" s="1"/>
      <c r="B7" s="18"/>
      <c r="C7" s="18"/>
      <c r="D7" s="18"/>
      <c r="E7" s="1"/>
      <c r="F7" s="1"/>
      <c r="G7" s="1"/>
      <c r="H7" s="2"/>
      <c r="I7" s="2"/>
      <c r="J7" s="2"/>
      <c r="K7" s="1"/>
      <c r="L7" s="1"/>
      <c r="M7" s="1"/>
      <c r="N7" s="1"/>
      <c r="O7" s="1"/>
      <c r="P7" s="1"/>
      <c r="Q7" s="1"/>
      <c r="R7" s="1"/>
      <c r="S7" s="3"/>
      <c r="T7" s="1"/>
      <c r="U7" s="1"/>
      <c r="V7" s="1"/>
      <c r="W7" s="1"/>
      <c r="X7" s="1"/>
      <c r="Y7" s="1"/>
      <c r="Z7" s="1"/>
      <c r="AA7" s="1"/>
      <c r="AB7" s="18"/>
      <c r="AC7" s="18"/>
      <c r="AD7" s="19"/>
      <c r="AE7" s="19"/>
      <c r="AF7" s="18"/>
      <c r="AG7" s="18"/>
      <c r="AH7" s="18"/>
      <c r="AI7" s="18"/>
      <c r="AJ7" s="18"/>
      <c r="AK7" s="18"/>
      <c r="AL7" s="18"/>
      <c r="AM7" s="18"/>
      <c r="AN7" s="18"/>
      <c r="AO7" s="1"/>
      <c r="AP7" s="1"/>
      <c r="AQ7" s="1"/>
      <c r="AR7" s="1"/>
      <c r="AS7" s="1"/>
      <c r="AT7" s="1"/>
      <c r="AU7" s="1"/>
      <c r="AV7" s="1"/>
    </row>
    <row r="8" ht="15.75" customHeight="1">
      <c r="A8" s="20" t="s">
        <v>12</v>
      </c>
      <c r="B8" s="21" t="s">
        <v>13</v>
      </c>
      <c r="C8" s="22" t="s">
        <v>14</v>
      </c>
      <c r="D8" s="23" t="s">
        <v>15</v>
      </c>
      <c r="E8" s="24" t="s">
        <v>16</v>
      </c>
      <c r="F8" s="25"/>
      <c r="G8" s="25"/>
      <c r="H8" s="25"/>
      <c r="I8" s="25"/>
      <c r="J8" s="25"/>
      <c r="K8" s="25"/>
      <c r="L8" s="25"/>
      <c r="M8" s="26"/>
      <c r="N8" s="27" t="s">
        <v>17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6"/>
      <c r="AA8" s="28"/>
      <c r="AB8" s="29" t="s">
        <v>18</v>
      </c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1"/>
      <c r="AQ8" s="1"/>
      <c r="AR8" s="1"/>
      <c r="AS8" s="1"/>
      <c r="AT8" s="1"/>
      <c r="AU8" s="1"/>
      <c r="AV8" s="1"/>
    </row>
    <row r="9" ht="13.5" customHeight="1">
      <c r="A9" s="32"/>
      <c r="B9" s="21" t="s">
        <v>13</v>
      </c>
      <c r="C9" s="33"/>
      <c r="D9" s="33"/>
      <c r="E9" s="34" t="s">
        <v>19</v>
      </c>
      <c r="F9" s="34" t="s">
        <v>20</v>
      </c>
      <c r="G9" s="34" t="s">
        <v>21</v>
      </c>
      <c r="H9" s="35" t="s">
        <v>22</v>
      </c>
      <c r="I9" s="35" t="s">
        <v>23</v>
      </c>
      <c r="J9" s="36" t="s">
        <v>24</v>
      </c>
      <c r="K9" s="37" t="s">
        <v>25</v>
      </c>
      <c r="L9" s="37" t="s">
        <v>26</v>
      </c>
      <c r="M9" s="34" t="s">
        <v>27</v>
      </c>
      <c r="N9" s="38" t="s">
        <v>28</v>
      </c>
      <c r="O9" s="38" t="s">
        <v>29</v>
      </c>
      <c r="P9" s="38" t="s">
        <v>30</v>
      </c>
      <c r="Q9" s="38" t="s">
        <v>31</v>
      </c>
      <c r="R9" s="38" t="s">
        <v>32</v>
      </c>
      <c r="S9" s="39" t="s">
        <v>33</v>
      </c>
      <c r="T9" s="38" t="s">
        <v>34</v>
      </c>
      <c r="U9" s="40" t="s">
        <v>35</v>
      </c>
      <c r="V9" s="38" t="s">
        <v>36</v>
      </c>
      <c r="W9" s="38" t="s">
        <v>37</v>
      </c>
      <c r="X9" s="38" t="s">
        <v>38</v>
      </c>
      <c r="Y9" s="38" t="s">
        <v>39</v>
      </c>
      <c r="Z9" s="38" t="s">
        <v>40</v>
      </c>
      <c r="AA9" s="38" t="s">
        <v>41</v>
      </c>
      <c r="AB9" s="41" t="s">
        <v>42</v>
      </c>
      <c r="AC9" s="41" t="s">
        <v>43</v>
      </c>
      <c r="AD9" s="42" t="s">
        <v>44</v>
      </c>
      <c r="AE9" s="42" t="s">
        <v>45</v>
      </c>
      <c r="AF9" s="43" t="s">
        <v>46</v>
      </c>
      <c r="AG9" s="41" t="s">
        <v>47</v>
      </c>
      <c r="AH9" s="41" t="s">
        <v>48</v>
      </c>
      <c r="AI9" s="41" t="s">
        <v>49</v>
      </c>
      <c r="AJ9" s="43" t="s">
        <v>50</v>
      </c>
      <c r="AK9" s="41" t="s">
        <v>51</v>
      </c>
      <c r="AL9" s="41" t="s">
        <v>52</v>
      </c>
      <c r="AM9" s="41" t="s">
        <v>53</v>
      </c>
      <c r="AN9" s="41" t="s">
        <v>54</v>
      </c>
      <c r="AO9" s="44" t="s">
        <v>55</v>
      </c>
      <c r="AP9" s="44" t="s">
        <v>56</v>
      </c>
      <c r="AQ9" s="45"/>
      <c r="AR9" s="45"/>
      <c r="AS9" s="45"/>
      <c r="AT9" s="45"/>
      <c r="AU9" s="45"/>
      <c r="AV9" s="45"/>
    </row>
    <row r="10" ht="14.25" customHeight="1">
      <c r="A10" s="46" t="s">
        <v>57</v>
      </c>
      <c r="B10" s="47" t="s">
        <v>58</v>
      </c>
      <c r="C10" s="48" t="str">
        <f t="array" ref="C10">IF(INDIRECT("'"&amp;A$10&amp;"'!"&amp;"B10") ="",INDIRECT("'"&amp;A$10&amp;"'!"&amp;"C1"),INDIRECT("'"&amp;A$10&amp;"'!"&amp;"B1"))</f>
        <v>2023 Q1</v>
      </c>
      <c r="D10" s="49">
        <f>IFERROR(E10/SUM(E13:E35),0)</f>
        <v>0.1107954545</v>
      </c>
      <c r="E10" s="50">
        <f>SUMIFS(COMPRAS!B:B,COMPRAS!A:A,B10)</f>
        <v>39</v>
      </c>
      <c r="F10" s="51">
        <f>IFERROR(AVERAGEIFS(COMPRAS!C:C,COMPRAS!A:A,B10),0)</f>
        <v>16.5425</v>
      </c>
      <c r="G10" s="52">
        <f>IFERROR(yahooF(A10&amp;".MX",1),F10)</f>
        <v>16.5425</v>
      </c>
      <c r="H10" s="53">
        <f>IFERROR(__xludf.DUMMYFUNCTION("IFERROR(G10,(GOOGLEFINANCE(A10,""high52"") + GOOGLEFINANCE(A10,""low52""))/2)"),16.5425)</f>
        <v>16.5425</v>
      </c>
      <c r="I10" s="54" t="str">
        <f>yahooF(A10&amp;".MX",2)</f>
        <v>#ERROR!</v>
      </c>
      <c r="J10" s="55">
        <v>7784.0</v>
      </c>
      <c r="K10" s="51">
        <f t="shared" ref="K10:K33" si="2">E10*F10</f>
        <v>645.1575</v>
      </c>
      <c r="L10" s="51">
        <f>IFERROR(SUMIFS(COMPRAS!G:G,COMPRAS!A:A,B10),0)</f>
        <v>637.941507</v>
      </c>
      <c r="M10" s="51">
        <f t="shared" ref="M10:M33" si="3">E10*G10</f>
        <v>645.1575</v>
      </c>
      <c r="N10" s="56" t="str">
        <f t="array" ref="N10">IF(INDIRECT("'"&amp;A$10&amp;"'!"&amp;"B12") ="",INDIRECT("'"&amp;A$10&amp;"'!"&amp;"C12"),INDIRECT("'"&amp;A$10&amp;"'!"&amp;"B12"))</f>
        <v/>
      </c>
      <c r="O10" s="57" t="str">
        <f t="array" ref="O10">IFERROR(AVERAGE(INDIRECT("'"&amp;A$10&amp;"'!"&amp;"B12:F12")),"")</f>
        <v/>
      </c>
      <c r="P10" s="58" t="str">
        <f t="array" ref="P10">IF(INDIRECT("'"&amp;A$10&amp;"'!"&amp;"B17") ="",INDIRECT("'"&amp;A$10&amp;"'!"&amp;"C17"),INDIRECT("'"&amp;A$10&amp;"'!"&amp;"B17"))</f>
        <v/>
      </c>
      <c r="Q10" s="58" t="str">
        <f t="array" ref="Q10">IFERROR(AVERAGE(INDIRECT("'"&amp;A$10&amp;"'!"&amp;"B17:F17")),"")</f>
        <v/>
      </c>
      <c r="R10" s="59">
        <f t="array" ref="R10">IF(INDIRECT("'"&amp;A$10&amp;"'!"&amp;"B10") ="",INDIRECT("'"&amp;A$10&amp;"'!"&amp;"C10"),INDIRECT("'"&amp;A$10&amp;"'!"&amp;"B10"))</f>
        <v>0.2566</v>
      </c>
      <c r="S10" s="59">
        <f t="array" ref="S10">IFERROR(AVERAGE(INDIRECT("'"&amp;A$10&amp;"'!"&amp;"B10:F10")),"")</f>
        <v>0.5060862</v>
      </c>
      <c r="T10" s="58">
        <f t="shared" ref="T10:U10" si="1">R10*4</f>
        <v>1.0264</v>
      </c>
      <c r="U10" s="58">
        <f t="shared" si="1"/>
        <v>2.0243448</v>
      </c>
      <c r="V10" s="60" t="str">
        <f t="array" ref="V10">IF(INDIRECT("'"&amp;A$10&amp;"'!"&amp;"B15") ="",INDIRECT("'"&amp;A$10&amp;"'!"&amp;"C15"),INDIRECT("'"&amp;A$10&amp;"'!"&amp;"B15"))</f>
        <v/>
      </c>
      <c r="W10" s="60" t="str">
        <f t="array" ref="W10">IFERROR(AVERAGE(INDIRECT("'"&amp;A$10&amp;"'!"&amp;"B15:F15")),"")</f>
        <v/>
      </c>
      <c r="X10" s="60" t="str">
        <f t="array" ref="X10">IF(INDIRECT("'"&amp;A$10&amp;"'!"&amp;"B5") ="",INDIRECT("'"&amp;A$10&amp;"'!"&amp;"C5"),INDIRECT("'"&amp;A$10&amp;"'!"&amp;"B5"))</f>
        <v/>
      </c>
      <c r="Y10" s="60" t="str">
        <f t="array" ref="Y10">IFERROR(AVERAGE(INDIRECT("'"&amp;A$10&amp;"'!"&amp;"B5:F5")),"")</f>
        <v/>
      </c>
      <c r="Z10" s="60" t="str">
        <f t="array" ref="Z10">IF(INDIRECT("'"&amp;A$10&amp;"'!"&amp;"B7") ="",INDIRECT("'"&amp;A$10&amp;"'!"&amp;"C7"),INDIRECT("'"&amp;A$10&amp;"'!"&amp;"B7"))</f>
        <v/>
      </c>
      <c r="AA10" s="60" t="str">
        <f t="array" ref="AA10">IFERROR(AVERAGE(INDIRECT("'"&amp;A$10&amp;"'!"&amp;"B7:F7")),"")</f>
        <v/>
      </c>
      <c r="AB10" s="61">
        <f t="shared" ref="AB10:AB32" si="5">IFERROR((G10/(L10/E10))-1,"")</f>
        <v>0.0113113709</v>
      </c>
      <c r="AC10" s="62">
        <f t="shared" ref="AC10:AC33" si="6">IFERROR(U10/G10,"")</f>
        <v>0.1223723621</v>
      </c>
      <c r="AD10" s="63">
        <f t="shared" ref="AD10:AD32" si="7">IFERROR(IF(M10-L10=0,"",M10-L10),"")</f>
        <v>7.215993</v>
      </c>
      <c r="AE10" s="63" t="str">
        <f t="shared" ref="AE10:AE32" si="8">IFERROR(IF(M10-K10=0,"",M10-K10),"")</f>
        <v/>
      </c>
      <c r="AF10" s="62" t="str">
        <f t="shared" ref="AF10:AF32" si="9">IF(P10&gt;0,IFERROR((P10/G10)-1,""),"")</f>
        <v/>
      </c>
      <c r="AG10" s="62">
        <f t="shared" ref="AG10:AG33" si="10">IFERROR(T10/G10,"")</f>
        <v>0.06204624452</v>
      </c>
      <c r="AI10" s="62" t="str">
        <f t="array" ref="AI10">IF(INDIRECT("'"&amp;A$10&amp;"'!"&amp;"B16") ="",INDIRECT("'"&amp;A$10&amp;"'!"&amp;"C16"),INDIRECT("'"&amp;A$10&amp;"'!"&amp;"B16"))</f>
        <v/>
      </c>
      <c r="AJ10" s="62" t="str">
        <f t="array" ref="AJ10">IFERROR(AVERAGE(INDIRECT("'"&amp;A$10&amp;"'!"&amp;"B16:F16")),"")</f>
        <v/>
      </c>
      <c r="AK10" s="62">
        <f t="shared" ref="AK10:AK33" si="11">AVERAGE(AG10:AJ10)</f>
        <v>0.06204624452</v>
      </c>
      <c r="AL10" s="64">
        <f t="shared" ref="AL10:AL32" si="12">IFERROR(IF(R10*E10=0,"",R10*E10),"")</f>
        <v>10.0074</v>
      </c>
      <c r="AM10" s="64">
        <f t="shared" ref="AM10:AM32" si="13">IFERROR(IF(S10*E10=0,"",S10*E10),"")</f>
        <v>19.7373618</v>
      </c>
      <c r="AN10" s="64">
        <f t="shared" ref="AN10:AN12" si="14">IFERROR(IF(T10*E10=0,"",T10*E10),"")</f>
        <v>40.0296</v>
      </c>
      <c r="AO10" s="64">
        <f t="shared" ref="AO10:AO33" si="15">IFERROR(IF(U10*E10=0,"",U10*E10),"")</f>
        <v>78.9494472</v>
      </c>
      <c r="AP10" s="65">
        <f t="shared" ref="AP10:AP32" si="16">IF(AC10*D10=0,"",AC10*D10)</f>
        <v>0.01355830148</v>
      </c>
      <c r="AQ10" s="1"/>
      <c r="AR10" s="1"/>
      <c r="AS10" s="1"/>
      <c r="AT10" s="1"/>
      <c r="AU10" s="1"/>
      <c r="AV10" s="1"/>
    </row>
    <row r="11" ht="14.25" customHeight="1">
      <c r="A11" s="46" t="s">
        <v>59</v>
      </c>
      <c r="B11" s="66" t="s">
        <v>60</v>
      </c>
      <c r="C11" s="48" t="str">
        <f t="array" ref="C11">IF(INDIRECT("'"&amp;A$11&amp;"'!"&amp;"B10") ="",INDIRECT("'"&amp;A$11&amp;"'!"&amp;"C1"),INDIRECT("'"&amp;A$11&amp;"'!"&amp;"B1"))</f>
        <v>2023 Q1</v>
      </c>
      <c r="D11" s="49">
        <f>IFERROR(E11/SUM(E13:E35),0)</f>
        <v>0.1335227273</v>
      </c>
      <c r="E11" s="50">
        <f>SUMIFS(COMPRAS!B:B,COMPRAS!A:A,B11)</f>
        <v>47</v>
      </c>
      <c r="F11" s="51">
        <f>IFERROR(AVERAGEIFS(COMPRAS!C:C,COMPRAS!A:A,B11),0)</f>
        <v>27.33666667</v>
      </c>
      <c r="G11" s="52">
        <f>IFERROR(__xludf.DUMMYFUNCTION("GOOGLEFINANCE(A11,""price"")"),23.84)</f>
        <v>23.84</v>
      </c>
      <c r="H11" s="53">
        <f>IFERROR(__xludf.DUMMYFUNCTION("(GOOGLEFINANCE(A11,""high52"") + GOOGLEFINANCE(A11,""low52""))/2"),23.03)</f>
        <v>23.03</v>
      </c>
      <c r="I11" s="54">
        <f>IFERROR(__xludf.DUMMYFUNCTION("GOOGLEFINANCE(A11,""changepct"")"),0.17)</f>
        <v>0.17</v>
      </c>
      <c r="J11" s="67">
        <f>IFERROR(__xludf.DUMMYFUNCTION("GOOGLEFINANCE(A11,""volume"")"),139923.0)</f>
        <v>139923</v>
      </c>
      <c r="K11" s="51">
        <f t="shared" si="2"/>
        <v>1284.823333</v>
      </c>
      <c r="L11" s="51">
        <f>IFERROR(SUMIFS(COMPRAS!G:G,COMPRAS!A:A,B11),0)</f>
        <v>1282.994993</v>
      </c>
      <c r="M11" s="51">
        <f t="shared" si="3"/>
        <v>1120.48</v>
      </c>
      <c r="N11" s="56" t="str">
        <f t="array" ref="N11">IF(INDIRECT("'"&amp;A$11&amp;"'!"&amp;"B12") ="",INDIRECT("'"&amp;A$11&amp;"'!"&amp;"C12"),INDIRECT("'"&amp;A$11&amp;"'!"&amp;"B12"))</f>
        <v/>
      </c>
      <c r="O11" s="57" t="str">
        <f t="array" ref="O11">IFERROR(AVERAGE(INDIRECT("'"&amp;A$11&amp;"'!"&amp;"B12:F12")),"")</f>
        <v/>
      </c>
      <c r="P11" s="58" t="str">
        <f t="array" ref="P11">IF(INDIRECT("'"&amp;A$11&amp;"'!"&amp;"B17") ="",INDIRECT("'"&amp;A$11&amp;"'!"&amp;"C17"),INDIRECT("'"&amp;A$11&amp;"'!"&amp;"B17"))</f>
        <v/>
      </c>
      <c r="Q11" s="58" t="str">
        <f t="array" ref="Q11">IFERROR(AVERAGE(INDIRECT("'"&amp;A$11&amp;"'!"&amp;"B17:F17")),"")</f>
        <v/>
      </c>
      <c r="R11" s="59">
        <f t="array" ref="R11">IF(INDIRECT("'"&amp;A$11&amp;"'!"&amp;"B10") ="",INDIRECT("'"&amp;A$11&amp;"'!"&amp;"C10"),INDIRECT("'"&amp;A$11&amp;"'!"&amp;"B10"))</f>
        <v>0.575</v>
      </c>
      <c r="S11" s="59">
        <f t="array" ref="S11">IFERROR(AVERAGE(INDIRECT("'"&amp;A$11&amp;"'!"&amp;"B10:F10")),0)</f>
        <v>0.7700312</v>
      </c>
      <c r="T11" s="58">
        <f t="shared" ref="T11:U11" si="4">R11*4</f>
        <v>2.3</v>
      </c>
      <c r="U11" s="58">
        <f t="shared" si="4"/>
        <v>3.0801248</v>
      </c>
      <c r="V11" s="60" t="str">
        <f t="array" ref="V11">IF(INDIRECT("'"&amp;A$11&amp;"'!"&amp;"B15") ="",INDIRECT("'"&amp;A$11&amp;"'!"&amp;"C15"),INDIRECT("'"&amp;A$11&amp;"'!"&amp;"B15"))</f>
        <v/>
      </c>
      <c r="W11" s="60" t="str">
        <f t="array" ref="W11">IFERROR(AVERAGE(INDIRECT("'"&amp;A$11&amp;"'!"&amp;"B15:F15")),"")</f>
        <v/>
      </c>
      <c r="X11" s="60" t="str">
        <f t="array" ref="X11">IF(INDIRECT("'"&amp;A$11&amp;"'!"&amp;"B5") ="",INDIRECT("'"&amp;A$11&amp;"'!"&amp;"C5"),INDIRECT("'"&amp;A$11&amp;"'!"&amp;"B5"))</f>
        <v/>
      </c>
      <c r="Y11" s="60">
        <f t="array" ref="Y11">IFERROR(AVERAGE(INDIRECT("'"&amp;A$11&amp;"'!"&amp;"B5:F5")),0)</f>
        <v>0</v>
      </c>
      <c r="Z11" s="60" t="str">
        <f t="array" ref="Z11">IF(INDIRECT("'"&amp;A$11&amp;"'!"&amp;"B7") ="",INDIRECT("'"&amp;A$11&amp;"'!"&amp;"C7"),INDIRECT("'"&amp;A$11&amp;"'!"&amp;"B7"))</f>
        <v/>
      </c>
      <c r="AA11" s="60">
        <f t="array" ref="AA11">IFERROR(AVERAGE(INDIRECT("'"&amp;A$11&amp;"'!"&amp;"B7:F7")),0)</f>
        <v>0</v>
      </c>
      <c r="AB11" s="61">
        <f t="shared" si="5"/>
        <v>-0.1266684546</v>
      </c>
      <c r="AC11" s="62">
        <f t="shared" si="6"/>
        <v>0.1291998658</v>
      </c>
      <c r="AD11" s="63">
        <f t="shared" si="7"/>
        <v>-162.514993</v>
      </c>
      <c r="AE11" s="63">
        <f t="shared" si="8"/>
        <v>-164.3433333</v>
      </c>
      <c r="AF11" s="62" t="str">
        <f t="shared" si="9"/>
        <v/>
      </c>
      <c r="AG11" s="62">
        <f t="shared" si="10"/>
        <v>0.09647651007</v>
      </c>
      <c r="AI11" s="62" t="str">
        <f t="array" ref="AI11">IF(INDIRECT("'"&amp;A$11&amp;"'!"&amp;"B16") ="",INDIRECT("'"&amp;A$11&amp;"'!"&amp;"C16"),INDIRECT("'"&amp;A$11&amp;"'!"&amp;"B16"))</f>
        <v/>
      </c>
      <c r="AJ11" s="62" t="str">
        <f t="array" ref="AJ11">IFERROR(AVERAGE(INDIRECT("'"&amp;A$11&amp;"'!"&amp;"B16:F16")),"")</f>
        <v/>
      </c>
      <c r="AK11" s="62">
        <f t="shared" si="11"/>
        <v>0.09647651007</v>
      </c>
      <c r="AL11" s="64">
        <f t="shared" si="12"/>
        <v>27.025</v>
      </c>
      <c r="AM11" s="64">
        <f t="shared" si="13"/>
        <v>36.1914664</v>
      </c>
      <c r="AN11" s="64">
        <f t="shared" si="14"/>
        <v>108.1</v>
      </c>
      <c r="AO11" s="64">
        <f t="shared" si="15"/>
        <v>144.7658656</v>
      </c>
      <c r="AP11" s="65">
        <f t="shared" si="16"/>
        <v>0.01725111844</v>
      </c>
      <c r="AQ11" s="1"/>
      <c r="AR11" s="1"/>
      <c r="AS11" s="1"/>
      <c r="AT11" s="1"/>
      <c r="AU11" s="1"/>
      <c r="AV11" s="1"/>
    </row>
    <row r="12" ht="14.25" customHeight="1">
      <c r="A12" s="46" t="str">
        <f>DANHOS13!A1</f>
        <v>DANHOS13</v>
      </c>
      <c r="B12" s="66" t="s">
        <v>61</v>
      </c>
      <c r="C12" s="48" t="str">
        <f t="array" ref="C12">IF(INDIRECT("'"&amp;A$12&amp;"'!"&amp;"B10") ="",INDIRECT("'"&amp;A$12&amp;"'!"&amp;"C1"),INDIRECT("'"&amp;A$12&amp;"'!"&amp;"B1"))</f>
        <v>2023 Q1</v>
      </c>
      <c r="D12" s="49">
        <f>IFERROR(E12/SUM(E13:E35),0)</f>
        <v>0.2840909091</v>
      </c>
      <c r="E12" s="50">
        <f>SUMIFS(COMPRAS!B:B,COMPRAS!A:A,B12)</f>
        <v>100</v>
      </c>
      <c r="F12" s="51">
        <f>IFERROR(AVERAGEIFS(COMPRAS!C:C,COMPRAS!A:A,B12),0)</f>
        <v>21.99</v>
      </c>
      <c r="G12" s="52">
        <f>IFERROR(__xludf.DUMMYFUNCTION("GOOGLEFINANCE(A12,""price"")"),27.34)</f>
        <v>27.34</v>
      </c>
      <c r="H12" s="53">
        <f>IFERROR(__xludf.DUMMYFUNCTION("(GOOGLEFINANCE(A12,""high52"") + GOOGLEFINANCE(A12,""low52""))/2"),28.07)</f>
        <v>28.07</v>
      </c>
      <c r="I12" s="54">
        <f>IFERROR(__xludf.DUMMYFUNCTION("GOOGLEFINANCE(A12,""changepct"")"),-0.83)</f>
        <v>-0.83</v>
      </c>
      <c r="J12" s="67">
        <f>IFERROR(__xludf.DUMMYFUNCTION("GOOGLEFINANCE(A12,""volume"")"),514835.0)</f>
        <v>514835</v>
      </c>
      <c r="K12" s="51">
        <f t="shared" si="2"/>
        <v>2199</v>
      </c>
      <c r="L12" s="51">
        <f>IFERROR(SUMIFS(COMPRAS!G:G,COMPRAS!A:A,B12),0)</f>
        <v>2230.473098</v>
      </c>
      <c r="M12" s="51">
        <f t="shared" si="3"/>
        <v>2734</v>
      </c>
      <c r="N12" s="56">
        <f t="array" ref="N12">IF(INDIRECT("'"&amp;A$12&amp;"'!"&amp;"B12") ="",INDIRECT("'"&amp;A$12&amp;"'!"&amp;"C12"),INDIRECT("'"&amp;A$12&amp;"'!"&amp;"B12"))</f>
        <v>0.069</v>
      </c>
      <c r="O12" s="57">
        <f t="array" ref="O12">IFERROR(AVERAGE(INDIRECT("'"&amp;A$12&amp;"'!"&amp;"B12:F12")),"")</f>
        <v>0.06843333333</v>
      </c>
      <c r="P12" s="58">
        <f t="array" ref="P12">IF(INDIRECT("'"&amp;A$12&amp;"'!"&amp;"B17") ="",INDIRECT("'"&amp;A$12&amp;"'!"&amp;"C17"),INDIRECT("'"&amp;A$12&amp;"'!"&amp;"B17"))</f>
        <v>39.79</v>
      </c>
      <c r="Q12" s="58">
        <f t="array" ref="Q12">IFERROR(AVERAGE(INDIRECT("'"&amp;A$12&amp;"'!"&amp;"B17:F17")),0)</f>
        <v>39.78666667</v>
      </c>
      <c r="R12" s="59">
        <f t="array" ref="R12">IF(INDIRECT("'"&amp;A$12&amp;"'!"&amp;"B10") ="",INDIRECT("'"&amp;A$12&amp;"'!"&amp;"C10"),INDIRECT("'"&amp;A$12&amp;"'!"&amp;"B10"))</f>
        <v>0.6</v>
      </c>
      <c r="S12" s="59">
        <f t="array" ref="S12">IFERROR(AVERAGE(INDIRECT("'"&amp;A$12&amp;"'!"&amp;"B10:F10")),0)</f>
        <v>0.6</v>
      </c>
      <c r="T12" s="58">
        <f t="shared" ref="T12:U12" si="17">R12*4</f>
        <v>2.4</v>
      </c>
      <c r="U12" s="58">
        <f t="shared" si="17"/>
        <v>2.4</v>
      </c>
      <c r="V12" s="60">
        <f t="array" ref="V12">IF(INDIRECT("'"&amp;A$12&amp;"'!"&amp;"B15") ="",INDIRECT("'"&amp;A$12&amp;"'!"&amp;"C15"),INDIRECT("'"&amp;A$12&amp;"'!"&amp;"B15"))</f>
        <v>0.0926</v>
      </c>
      <c r="W12" s="60">
        <f t="array" ref="W12">IFERROR(AVERAGE(INDIRECT("'"&amp;A$12&amp;"'!"&amp;"B15:F15")),"")</f>
        <v>0.0885</v>
      </c>
      <c r="X12" s="60">
        <f t="array" ref="X12">IF(INDIRECT("'"&amp;A$12&amp;"'!"&amp;"B5") ="",INDIRECT("'"&amp;A$12&amp;"'!"&amp;"c5"),INDIRECT("'"&amp;A$12&amp;"'!"&amp;"B5"))</f>
        <v>0.753</v>
      </c>
      <c r="Y12" s="60">
        <f t="array" ref="Y12">IFERROR(AVERAGE(INDIRECT("'"&amp;A$12&amp;"'!"&amp;"B5:F5")),0)</f>
        <v>0.78515</v>
      </c>
      <c r="Z12" s="60">
        <f t="array" ref="Z12">IF(INDIRECT("'"&amp;A$12&amp;"'!"&amp;"B7") ="",INDIRECT("'"&amp;A$12&amp;"'!"&amp;"C7"),INDIRECT("'"&amp;A$12&amp;"'!"&amp;"B7"))</f>
        <v>0.5305</v>
      </c>
      <c r="AA12" s="60">
        <f t="array" ref="AA12">IFERROR(AVERAGE(INDIRECT("'"&amp;A$12&amp;"'!"&amp;"B7:F7")),0)</f>
        <v>0.5749</v>
      </c>
      <c r="AB12" s="61">
        <f t="shared" si="5"/>
        <v>0.2257489241</v>
      </c>
      <c r="AC12" s="62">
        <f t="shared" si="6"/>
        <v>0.08778346745</v>
      </c>
      <c r="AD12" s="63">
        <f t="shared" si="7"/>
        <v>503.526902</v>
      </c>
      <c r="AE12" s="63">
        <f t="shared" si="8"/>
        <v>535</v>
      </c>
      <c r="AF12" s="62">
        <f t="shared" si="9"/>
        <v>0.4553767374</v>
      </c>
      <c r="AG12" s="62">
        <f t="shared" si="10"/>
        <v>0.08778346745</v>
      </c>
      <c r="AI12" s="62">
        <f t="array" ref="AI12">IF(INDIRECT("'"&amp;A$12&amp;"'!"&amp;"B16") ="",INDIRECT("'"&amp;A$12&amp;"'!"&amp;"C16"),INDIRECT("'"&amp;A$12&amp;"'!"&amp;"B16"))</f>
        <v>0.09</v>
      </c>
      <c r="AJ12" s="62">
        <f t="array" ref="AJ12">AVERAGE(INDIRECT("'"&amp;A$12&amp;"'!"&amp;"B16:F16"))</f>
        <v>0.09236666667</v>
      </c>
      <c r="AK12" s="62">
        <f t="shared" si="11"/>
        <v>0.0900500447</v>
      </c>
      <c r="AL12" s="64">
        <f t="shared" si="12"/>
        <v>60</v>
      </c>
      <c r="AM12" s="64">
        <f t="shared" si="13"/>
        <v>60</v>
      </c>
      <c r="AN12" s="64">
        <f t="shared" si="14"/>
        <v>240</v>
      </c>
      <c r="AO12" s="64">
        <f t="shared" si="15"/>
        <v>240</v>
      </c>
      <c r="AP12" s="65">
        <f t="shared" si="16"/>
        <v>0.02493848507</v>
      </c>
      <c r="AQ12" s="1"/>
      <c r="AR12" s="1"/>
      <c r="AS12" s="1"/>
      <c r="AT12" s="1"/>
      <c r="AU12" s="1"/>
      <c r="AV12" s="1"/>
    </row>
    <row r="13" ht="18.0" customHeight="1">
      <c r="A13" s="46" t="str">
        <f>FUNO11!A1</f>
        <v>FUNO11</v>
      </c>
      <c r="B13" s="66" t="s">
        <v>62</v>
      </c>
      <c r="C13" s="48" t="str">
        <f t="array" ref="C13">IF(INDIRECT("'"&amp;A$13&amp;"'!"&amp;"B10") ="",INDIRECT("'"&amp;A$13&amp;"'!"&amp;"C1"),INDIRECT("'"&amp;A$13&amp;"'!"&amp;"B1"))</f>
        <v>2023 Q1</v>
      </c>
      <c r="D13" s="49">
        <f>IFERROR(E13/SUM(E13:E35),0)</f>
        <v>0.1704545455</v>
      </c>
      <c r="E13" s="50">
        <f>SUMIFS(COMPRAS!B:B,COMPRAS!A:A,B13)</f>
        <v>60</v>
      </c>
      <c r="F13" s="51">
        <f>IFERROR(AVERAGEIFS(COMPRAS!C:C,COMPRAS!A:A,B13),0)</f>
        <v>24.48</v>
      </c>
      <c r="G13" s="52">
        <f>IFERROR(__xludf.DUMMYFUNCTION("GOOGLEFINANCE(A13,""price"")"),29.73)</f>
        <v>29.73</v>
      </c>
      <c r="H13" s="53">
        <f>IFERROR(__xludf.DUMMYFUNCTION("(GOOGLEFINANCE(A13,""high52"") + GOOGLEFINANCE(A13,""low52""))/2"),28.21)</f>
        <v>28.21</v>
      </c>
      <c r="I13" s="54">
        <f>IFERROR(__xludf.DUMMYFUNCTION("GOOGLEFINANCE(A13,""changepct"")"),-0.03)</f>
        <v>-0.03</v>
      </c>
      <c r="J13" s="67">
        <f>IFERROR(__xludf.DUMMYFUNCTION("GOOGLEFINANCE(A13,""volume"")"),2305818.0)</f>
        <v>2305818</v>
      </c>
      <c r="K13" s="51">
        <f t="shared" si="2"/>
        <v>1468.8</v>
      </c>
      <c r="L13" s="51">
        <f>IFERROR(SUMIFS(COMPRAS!G:G,COMPRAS!A:A,B13),0)</f>
        <v>1472.069312</v>
      </c>
      <c r="M13" s="51">
        <f t="shared" si="3"/>
        <v>1783.8</v>
      </c>
      <c r="N13" s="56">
        <f t="array" ref="N13">IF(INDIRECT("'"&amp;A$13&amp;"'!"&amp;"B12") ="",INDIRECT("'"&amp;A$13&amp;"'!"&amp;"C12"),INDIRECT("'"&amp;A$13&amp;"'!"&amp;"B12"))</f>
        <v>0.0636</v>
      </c>
      <c r="O13" s="57">
        <f t="array" ref="O13">IFERROR(AVERAGE(INDIRECT("'"&amp;A$13&amp;"'!"&amp;"B12:F12")),"")</f>
        <v>0.06273333333</v>
      </c>
      <c r="P13" s="58">
        <f t="array" ref="P13">IF(INDIRECT("'"&amp;A$13&amp;"'!"&amp;"B17") ="",INDIRECT("'"&amp;A$13&amp;"'!"&amp;"C17"),INDIRECT("'"&amp;A$13&amp;"'!"&amp;"B17"))</f>
        <v>50.02</v>
      </c>
      <c r="Q13" s="58">
        <f t="array" ref="Q13">IFERROR(AVERAGE(INDIRECT("'"&amp;A$13&amp;"'!"&amp;"B17:F17")),0)</f>
        <v>48.54333333</v>
      </c>
      <c r="R13" s="59">
        <f t="array" ref="R13">IF(INDIRECT("'"&amp;A$13&amp;"'!"&amp;"B10") ="",INDIRECT("'"&amp;A$13&amp;"'!"&amp;"C10"),INDIRECT("'"&amp;A$13&amp;"'!"&amp;"B10"))</f>
        <v>0.389133</v>
      </c>
      <c r="S13" s="59">
        <f t="array" ref="S13">IFERROR(AVERAGE(INDIRECT("'"&amp;A$13&amp;"'!"&amp;"B10:F10")),0)</f>
        <v>0.6180646</v>
      </c>
      <c r="T13" s="58">
        <f t="shared" ref="T13:U13" si="18">R13*4</f>
        <v>1.556532</v>
      </c>
      <c r="U13" s="58">
        <f t="shared" si="18"/>
        <v>2.4722584</v>
      </c>
      <c r="V13" s="60">
        <f t="array" ref="V13">IF(INDIRECT("'"&amp;A$13&amp;"'!"&amp;"B15") ="",INDIRECT("'"&amp;A$13&amp;"'!"&amp;"C15"),INDIRECT("'"&amp;A$13&amp;"'!"&amp;"B15"))</f>
        <v>0.4</v>
      </c>
      <c r="W13" s="60">
        <f t="array" ref="W13">IFERROR(AVERAGE(INDIRECT("'"&amp;A$13&amp;"'!"&amp;"B15:F15")),"")</f>
        <v>0.4163</v>
      </c>
      <c r="X13" s="60">
        <f t="array" ref="X13">IF(INDIRECT("'"&amp;A$13&amp;"'!"&amp;"B5") ="",INDIRECT("'"&amp;A$13&amp;"'!"&amp;"C5"),INDIRECT("'"&amp;A$13&amp;"'!"&amp;"B5"))</f>
        <v>0.784</v>
      </c>
      <c r="Y13" s="60">
        <f t="array" ref="Y13">IFERROR(AVERAGE(INDIRECT("'"&amp;A$13&amp;"'!"&amp;"B5:F5")),0)</f>
        <v>0.78674</v>
      </c>
      <c r="Z13" s="60">
        <f t="array" ref="Z13">IF(INDIRECT("'"&amp;A$13&amp;"'!"&amp;"B7") ="",INDIRECT("'"&amp;A$13&amp;"'!"&amp;"C7"),INDIRECT("'"&amp;A$13&amp;"'!"&amp;"B7"))</f>
        <v>0.348</v>
      </c>
      <c r="AA13" s="60">
        <f t="array" ref="AA13">IFERROR(AVERAGE(INDIRECT("'"&amp;A$13&amp;"'!"&amp;"B7:F7")),0)</f>
        <v>0.37968</v>
      </c>
      <c r="AB13" s="61">
        <f t="shared" si="5"/>
        <v>0.2117635939</v>
      </c>
      <c r="AC13" s="62">
        <f t="shared" si="6"/>
        <v>0.08315702657</v>
      </c>
      <c r="AD13" s="63">
        <f t="shared" si="7"/>
        <v>311.730688</v>
      </c>
      <c r="AE13" s="63">
        <f t="shared" si="8"/>
        <v>315</v>
      </c>
      <c r="AF13" s="62">
        <f t="shared" si="9"/>
        <v>0.6824756139</v>
      </c>
      <c r="AG13" s="62">
        <f t="shared" si="10"/>
        <v>0.0523556004</v>
      </c>
      <c r="AI13" s="62">
        <f t="array" ref="AI13">IF(INDIRECT("'"&amp;A$13&amp;"'!"&amp;"B16") ="",INDIRECT("'"&amp;A$13&amp;"'!"&amp;"C16"),INDIRECT("'"&amp;A$13&amp;"'!"&amp;"B16"))</f>
        <v>0.0607</v>
      </c>
      <c r="AJ13" s="62">
        <f t="array" ref="AJ13">AVERAGE(INDIRECT("'"&amp;A$13&amp;"'!"&amp;"B16:F16"))</f>
        <v>0.07176666667</v>
      </c>
      <c r="AK13" s="62">
        <f t="shared" si="11"/>
        <v>0.06160742236</v>
      </c>
      <c r="AL13" s="64">
        <f t="shared" si="12"/>
        <v>23.34798</v>
      </c>
      <c r="AM13" s="64">
        <f t="shared" si="13"/>
        <v>37.083876</v>
      </c>
      <c r="AN13" s="64">
        <f>IFERROR(IF(T13*E13=0,"",T13*E13),"")</f>
        <v>93.39192</v>
      </c>
      <c r="AO13" s="64">
        <f t="shared" si="15"/>
        <v>148.335504</v>
      </c>
      <c r="AP13" s="65">
        <f t="shared" si="16"/>
        <v>0.01417449317</v>
      </c>
      <c r="AQ13" s="1"/>
      <c r="AR13" s="1"/>
      <c r="AS13" s="1"/>
      <c r="AT13" s="1"/>
      <c r="AU13" s="1"/>
      <c r="AV13" s="1"/>
    </row>
    <row r="14" ht="15.75" customHeight="1">
      <c r="A14" s="46" t="str">
        <f>FMTY14!A1</f>
        <v>FMTY14</v>
      </c>
      <c r="B14" s="47" t="s">
        <v>63</v>
      </c>
      <c r="C14" s="48" t="str">
        <f t="array" ref="C14">IF(INDIRECT("'"&amp;A$14&amp;"'!"&amp;"B10") ="",INDIRECT("'"&amp;A$14&amp;"'!"&amp;"C1"),INDIRECT("'"&amp;A$14&amp;"'!"&amp;"B1"))</f>
        <v>2023 Q1</v>
      </c>
      <c r="D14" s="49">
        <f>IFERROR(E14/SUM(E13:E35),0)</f>
        <v>0.4375</v>
      </c>
      <c r="E14" s="50">
        <f>SUMIFS(COMPRAS!B:B,COMPRAS!A:A,B14)</f>
        <v>154</v>
      </c>
      <c r="F14" s="51">
        <f>IFERROR(AVERAGEIFS(COMPRAS!C:C,COMPRAS!A:A,B14),0)</f>
        <v>11.921</v>
      </c>
      <c r="G14" s="52">
        <f>IFERROR(__xludf.DUMMYFUNCTION("GOOGLEFINANCE(A14,""price"")"),14.61)</f>
        <v>14.61</v>
      </c>
      <c r="H14" s="53">
        <f>IFERROR(__xludf.DUMMYFUNCTION("(GOOGLEFINANCE(A14,""high52"") + GOOGLEFINANCE(A14,""low52""))/2"),14.395)</f>
        <v>14.395</v>
      </c>
      <c r="I14" s="54">
        <f>IFERROR(__xludf.DUMMYFUNCTION("GOOGLEFINANCE(A14,""changepct"")"),0.69)</f>
        <v>0.69</v>
      </c>
      <c r="J14" s="67">
        <f>IFERROR(__xludf.DUMMYFUNCTION("GOOGLEFINANCE(A14,""volume"")"),6200822.0)</f>
        <v>6200822</v>
      </c>
      <c r="K14" s="51">
        <f t="shared" si="2"/>
        <v>1835.834</v>
      </c>
      <c r="L14" s="51">
        <f>IFERROR(SUMIFS(COMPRAS!G:G,COMPRAS!A:A,B14),0)</f>
        <v>1798.498114</v>
      </c>
      <c r="M14" s="51">
        <f t="shared" si="3"/>
        <v>2249.94</v>
      </c>
      <c r="N14" s="56">
        <f t="array" ref="N14">IF(INDIRECT("'"&amp;A$14&amp;"'!"&amp;"B12")="",INDIRECT("'"&amp;A$14&amp;"'!"&amp;"C12"),INDIRECT("'"&amp;A$14&amp;"'!"&amp;"B12"))</f>
        <v>0.0475</v>
      </c>
      <c r="O14" s="57">
        <f t="array" ref="O14">IFERROR(AVERAGE(INDIRECT("'"&amp;A$14&amp;"'!"&amp;"B12:F12")),"")</f>
        <v>0.06443333333</v>
      </c>
      <c r="P14" s="58">
        <f t="array" ref="P14">IF(INDIRECT("'"&amp;A$14&amp;"'!"&amp;"B17") ="",INDIRECT("'"&amp;A$14&amp;"'!"&amp;"C17"),INDIRECT("'"&amp;A$14&amp;"'!"&amp;"B17"))</f>
        <v>12.08</v>
      </c>
      <c r="Q14" s="58">
        <f t="array" ref="Q14">IFERROR(AVERAGE(INDIRECT("'"&amp;A$14&amp;"'!"&amp;"B17:F17")),0)</f>
        <v>12.77333333</v>
      </c>
      <c r="R14" s="59">
        <f t="array" ref="R14">IF(INDIRECT("'"&amp;A$14&amp;"'!"&amp;"B10") ="",INDIRECT("'"&amp;A$14&amp;"'!"&amp;"C10"),INDIRECT("'"&amp;A$14&amp;"'!"&amp;"B10"))</f>
        <v>0</v>
      </c>
      <c r="S14" s="59">
        <f t="array" ref="S14">IFERROR(AVERAGE(INDIRECT("'"&amp;A$14&amp;"'!"&amp;"B10:F10")),0)</f>
        <v>0.2125466</v>
      </c>
      <c r="T14" s="58">
        <f t="shared" ref="T14:U14" si="19">R14*4</f>
        <v>0</v>
      </c>
      <c r="U14" s="58">
        <f t="shared" si="19"/>
        <v>0.8501864</v>
      </c>
      <c r="V14" s="60">
        <f t="array" ref="V14">IF(INDIRECT("'"&amp;A$14&amp;"'!"&amp;"B15") ="",INDIRECT("'"&amp;A$14&amp;"'!"&amp;"C15"),INDIRECT("'"&amp;A$14&amp;"'!"&amp;"B15"))</f>
        <v>0.3685</v>
      </c>
      <c r="W14" s="60">
        <f t="array" ref="W14">IFERROR(AVERAGE(INDIRECT("'"&amp;A$14&amp;"'!"&amp;"B15:F15")),"")</f>
        <v>0.2816</v>
      </c>
      <c r="X14" s="60">
        <f t="array" ref="X14">IF(INDIRECT("'"&amp;A$14&amp;"'!"&amp;"B5") ="",INDIRECT("'"&amp;A$14&amp;"'!"&amp;"C5"),INDIRECT("'"&amp;A$14&amp;"'!"&amp;"B5"))</f>
        <v>0.8872</v>
      </c>
      <c r="Y14" s="60">
        <f t="array" ref="Y14">IFERROR(AVERAGE(INDIRECT("'"&amp;A$14&amp;"'!"&amp;"B5:F5")),0)</f>
        <v>0.88378</v>
      </c>
      <c r="Z14" s="60">
        <f t="array" ref="Z14">IF(INDIRECT("'"&amp;A$14&amp;"'!"&amp;"B7") ="",INDIRECT("'"&amp;A$14&amp;"'!"&amp;"C7"),INDIRECT("'"&amp;A$14&amp;"'!"&amp;"B7"))</f>
        <v>0.9334</v>
      </c>
      <c r="AA14" s="60">
        <f t="array" ref="AA14">IFERROR(AVERAGE(INDIRECT("'"&amp;A$14&amp;"'!"&amp;"B7:F7")),0)</f>
        <v>0.77808</v>
      </c>
      <c r="AB14" s="61">
        <f t="shared" si="5"/>
        <v>0.2510104862</v>
      </c>
      <c r="AC14" s="62">
        <f t="shared" si="6"/>
        <v>0.05819208761</v>
      </c>
      <c r="AD14" s="63">
        <f t="shared" si="7"/>
        <v>451.441886</v>
      </c>
      <c r="AE14" s="63">
        <f t="shared" si="8"/>
        <v>414.106</v>
      </c>
      <c r="AF14" s="62">
        <f t="shared" si="9"/>
        <v>-0.1731690623</v>
      </c>
      <c r="AG14" s="62">
        <f t="shared" si="10"/>
        <v>0</v>
      </c>
      <c r="AI14" s="62">
        <f t="array" ref="AI14">IF(INDIRECT("'"&amp;A$14&amp;"'!"&amp;"B16") ="",INDIRECT("'"&amp;A$14&amp;"'!"&amp;"C16"),INDIRECT("'"&amp;A$14&amp;"'!"&amp;"B16"))</f>
        <v>0.0735</v>
      </c>
      <c r="AJ14" s="62">
        <f t="array" ref="AJ14">AVERAGE(INDIRECT("'"&amp;A$14&amp;"'!"&amp;"B16:F16"))</f>
        <v>0.0777</v>
      </c>
      <c r="AK14" s="62">
        <f t="shared" si="11"/>
        <v>0.0504</v>
      </c>
      <c r="AL14" s="64" t="str">
        <f t="shared" si="12"/>
        <v/>
      </c>
      <c r="AM14" s="64">
        <f t="shared" si="13"/>
        <v>32.7321764</v>
      </c>
      <c r="AN14" s="68" t="str">
        <f t="shared" ref="AN14:AN32" si="21">IFERROR(IF(T14*E14=0,"",T14*E14),"")</f>
        <v/>
      </c>
      <c r="AO14" s="64">
        <f t="shared" si="15"/>
        <v>130.9287056</v>
      </c>
      <c r="AP14" s="65">
        <f t="shared" si="16"/>
        <v>0.02545903833</v>
      </c>
      <c r="AQ14" s="1"/>
      <c r="AR14" s="1"/>
      <c r="AS14" s="1"/>
      <c r="AT14" s="1"/>
      <c r="AU14" s="1"/>
      <c r="AV14" s="1"/>
    </row>
    <row r="15" ht="14.25" customHeight="1">
      <c r="A15" s="46" t="s">
        <v>64</v>
      </c>
      <c r="B15" s="66" t="s">
        <v>65</v>
      </c>
      <c r="C15" s="48" t="str">
        <f t="array" ref="C15">IF(INDIRECT("'"&amp;A$15&amp;"'!"&amp;"B10") ="",INDIRECT("'"&amp;A$15&amp;"'!"&amp;"C1"),INDIRECT("'"&amp;A$15&amp;"'!"&amp;"B1"))</f>
        <v>2023 Q1</v>
      </c>
      <c r="D15" s="49">
        <f>IFERROR(E15/SUM(E13:E35),0)</f>
        <v>0.2102272727</v>
      </c>
      <c r="E15" s="50">
        <f>SUMIFS(COMPRAS!B:B,COMPRAS!A:A,B15)</f>
        <v>74</v>
      </c>
      <c r="F15" s="51">
        <f>IFERROR(AVERAGEIFS(COMPRAS!C:C,COMPRAS!A:A,B15),0)</f>
        <v>29.7325</v>
      </c>
      <c r="G15" s="52" t="str">
        <f>IFERROR(__xludf.DUMMYFUNCTION("GOOGLEFINANCE(A15,""price"")"),"#N/A")</f>
        <v>#N/A</v>
      </c>
      <c r="H15" s="53" t="str">
        <f>IFERROR(__xludf.DUMMYFUNCTION("(GOOGLEFINANCE(A15,""high52"") + GOOGLEFINANCE(A15,""low52""))/2"),"#N/A")</f>
        <v>#N/A</v>
      </c>
      <c r="I15" s="54" t="str">
        <f>IFERROR(__xludf.DUMMYFUNCTION("GOOGLEFINANCE(A15,""changepct"")"),"#N/A")</f>
        <v>#N/A</v>
      </c>
      <c r="J15" s="67" t="str">
        <f>IFERROR(__xludf.DUMMYFUNCTION("GOOGLEFINANCE(A15,""volume"")"),"#N/A")</f>
        <v>#N/A</v>
      </c>
      <c r="K15" s="51">
        <f t="shared" si="2"/>
        <v>2200.205</v>
      </c>
      <c r="L15" s="51">
        <f>IFERROR(SUMIFS(COMPRAS!G:G,COMPRAS!A:A,B15),0)</f>
        <v>2168.20065</v>
      </c>
      <c r="M15" s="51" t="str">
        <f t="shared" si="3"/>
        <v>#N/A</v>
      </c>
      <c r="N15" s="56">
        <f t="array" ref="N15">IF(INDIRECT("'"&amp;A$15&amp;"'!"&amp;"B12") ="",INDIRECT("'"&amp;A$15&amp;"'!"&amp;"C12"),INDIRECT("'"&amp;A$15&amp;"'!"&amp;"B12"))</f>
        <v>0.0762</v>
      </c>
      <c r="O15" s="57">
        <f t="array" ref="O15">IFERROR(AVERAGE(INDIRECT("'"&amp;A$15&amp;"'!"&amp;"B12:F12")),"")</f>
        <v>0.07683333333</v>
      </c>
      <c r="P15" s="58">
        <f t="array" ref="P15">IF(INDIRECT("'"&amp;A$15&amp;"'!"&amp;"B17") ="",INDIRECT("'"&amp;A$15&amp;"'!"&amp;"C17"),INDIRECT("'"&amp;A$15&amp;"'!"&amp;"B17"))</f>
        <v>20.41</v>
      </c>
      <c r="Q15" s="58">
        <f t="array" ref="Q15">IFERROR(AVERAGE(INDIRECT("'"&amp;A$15&amp;"'!"&amp;"B17:F17")),0)</f>
        <v>21.34666667</v>
      </c>
      <c r="R15" s="59">
        <f t="array" ref="R15">IF(INDIRECT("'"&amp;A$15&amp;"'!"&amp;"B10") ="",INDIRECT("'"&amp;A$15&amp;"'!"&amp;"C10"),INDIRECT("'"&amp;A$15&amp;"'!"&amp;"B10"))</f>
        <v>0.5797</v>
      </c>
      <c r="S15" s="59">
        <f t="array" ref="S15">IFERROR(AVERAGE(INDIRECT("'"&amp;A$15&amp;"'!"&amp;"B10:F10")),0)</f>
        <v>0.4594304</v>
      </c>
      <c r="T15" s="58">
        <f t="shared" ref="T15:U15" si="20">R15*4</f>
        <v>2.3188</v>
      </c>
      <c r="U15" s="58">
        <f t="shared" si="20"/>
        <v>1.8377216</v>
      </c>
      <c r="V15" s="60">
        <f t="array" ref="V15">IF(INDIRECT("'"&amp;A$15&amp;"'!"&amp;"B15") ="",INDIRECT("'"&amp;A$15&amp;"'!"&amp;"C15"),INDIRECT("'"&amp;A$15&amp;"'!"&amp;"B15"))</f>
        <v>0.4783</v>
      </c>
      <c r="W15" s="60">
        <f t="array" ref="W15">IFERROR(AVERAGE(INDIRECT("'"&amp;A$15&amp;"'!"&amp;"B15:F15")),"")</f>
        <v>0.4600333333</v>
      </c>
      <c r="X15" s="60">
        <f t="array" ref="X15">IF(INDIRECT("'"&amp;A$15&amp;"'!"&amp;"B5") ="",INDIRECT("'"&amp;A$15&amp;"'!"&amp;"C5"),INDIRECT("'"&amp;A$15&amp;"'!"&amp;"B5"))</f>
        <v>0.9727</v>
      </c>
      <c r="Y15" s="60">
        <f t="array" ref="Y15">IFERROR(AVERAGE(INDIRECT("'"&amp;A$15&amp;"'!"&amp;"B5:F5")),0)</f>
        <v>0.97156</v>
      </c>
      <c r="Z15" s="60">
        <f t="array" ref="Z15">IF(INDIRECT("'"&amp;A$15&amp;"'!"&amp;"B7") ="",INDIRECT("'"&amp;A$15&amp;"'!"&amp;"C7"),INDIRECT("'"&amp;A$15&amp;"'!"&amp;"B7"))</f>
        <v>0.8104</v>
      </c>
      <c r="AA15" s="60">
        <f t="array" ref="AA15">IFERROR(AVERAGE(INDIRECT("'"&amp;A$15&amp;"'!"&amp;"B7:F7")),0)</f>
        <v>0.80972</v>
      </c>
      <c r="AB15" s="61" t="str">
        <f t="shared" si="5"/>
        <v/>
      </c>
      <c r="AC15" s="62" t="str">
        <f t="shared" si="6"/>
        <v/>
      </c>
      <c r="AD15" s="63" t="str">
        <f t="shared" si="7"/>
        <v/>
      </c>
      <c r="AE15" s="63" t="str">
        <f t="shared" si="8"/>
        <v/>
      </c>
      <c r="AF15" s="62" t="str">
        <f t="shared" si="9"/>
        <v/>
      </c>
      <c r="AG15" s="62" t="str">
        <f t="shared" si="10"/>
        <v/>
      </c>
      <c r="AI15" s="62">
        <f t="array" ref="AI15">IF(INDIRECT("'"&amp;A$15&amp;"'!"&amp;"B16") ="",INDIRECT("'"&amp;A$15&amp;"'!"&amp;"C16"),INDIRECT("'"&amp;A$15&amp;"'!"&amp;"B16"))</f>
        <v>0.0756</v>
      </c>
      <c r="AJ15" s="62">
        <f t="array" ref="AJ15">IFERROR(AVERAGE(INDIRECT("'"&amp;A$15&amp;"'!"&amp;"B16:F16")),"")</f>
        <v>0.07086666667</v>
      </c>
      <c r="AK15" s="62">
        <f t="shared" si="11"/>
        <v>0.07323333333</v>
      </c>
      <c r="AL15" s="64">
        <f t="shared" si="12"/>
        <v>42.8978</v>
      </c>
      <c r="AM15" s="64">
        <f t="shared" si="13"/>
        <v>33.9978496</v>
      </c>
      <c r="AN15" s="64">
        <f t="shared" si="21"/>
        <v>171.5912</v>
      </c>
      <c r="AO15" s="64">
        <f t="shared" si="15"/>
        <v>135.9913984</v>
      </c>
      <c r="AP15" s="65" t="str">
        <f t="shared" si="16"/>
        <v/>
      </c>
      <c r="AQ15" s="1"/>
      <c r="AR15" s="1"/>
      <c r="AS15" s="1"/>
      <c r="AT15" s="1"/>
      <c r="AU15" s="1"/>
      <c r="AV15" s="1"/>
    </row>
    <row r="16" ht="18.0" customHeight="1">
      <c r="A16" s="46" t="str">
        <f>FIBRAMQ12!A1</f>
        <v>FIBRAMQ12</v>
      </c>
      <c r="B16" s="66" t="s">
        <v>66</v>
      </c>
      <c r="C16" s="48" t="str">
        <f t="array" ref="C16">IF(INDIRECT("'"&amp;A$16&amp;"'!"&amp;"B10") ="",INDIRECT("'"&amp;A$16&amp;"'!"&amp;"C1"),INDIRECT("'"&amp;A$16&amp;"'!"&amp;"B1"))</f>
        <v>2023 Q1</v>
      </c>
      <c r="D16" s="49">
        <f>IFERROR(E16/SUM(E13:E35),0)</f>
        <v>0.09090909091</v>
      </c>
      <c r="E16" s="50">
        <f>SUMIFS(COMPRAS!B:B,COMPRAS!A:A,B16)</f>
        <v>32</v>
      </c>
      <c r="F16" s="51">
        <f>IFERROR(AVERAGEIFS(COMPRAS!C:C,COMPRAS!A:A,B16),0)</f>
        <v>28.74571429</v>
      </c>
      <c r="G16" s="52">
        <f>IFERROR(__xludf.DUMMYFUNCTION("GOOGLEFINANCE(A16,""price"")"),43.51)</f>
        <v>43.51</v>
      </c>
      <c r="H16" s="53">
        <f>IFERROR(__xludf.DUMMYFUNCTION("(GOOGLEFINANCE(A16,""high52"") + GOOGLEFINANCE(A16,""low52""))/2"),37.415)</f>
        <v>37.415</v>
      </c>
      <c r="I16" s="54">
        <f>IFERROR(__xludf.DUMMYFUNCTION("GOOGLEFINANCE(A16,""changepct"")"),0.97)</f>
        <v>0.97</v>
      </c>
      <c r="J16" s="67">
        <f>IFERROR(__xludf.DUMMYFUNCTION("GOOGLEFINANCE(A16,""volume"")"),814553.0)</f>
        <v>814553</v>
      </c>
      <c r="K16" s="51">
        <f t="shared" si="2"/>
        <v>919.8628571</v>
      </c>
      <c r="L16" s="51">
        <f>IFERROR(SUMIFS(COMPRAS!G:G,COMPRAS!A:A,B16),0)</f>
        <v>921.527908</v>
      </c>
      <c r="M16" s="51">
        <f t="shared" si="3"/>
        <v>1392.32</v>
      </c>
      <c r="N16" s="56">
        <f t="array" ref="N16">IF(INDIRECT("'"&amp;A$16&amp;"'!"&amp;"B12") ="",INDIRECT("'"&amp;A$16&amp;"'!"&amp;"C12"),INDIRECT("'"&amp;A$16&amp;"'!"&amp;"B12"))</f>
        <v>0.0693</v>
      </c>
      <c r="O16" s="57">
        <f t="array" ref="O16">IFERROR(AVERAGE(INDIRECT("'"&amp;A$16&amp;"'!"&amp;"B12:F12")),"")</f>
        <v>0.06895</v>
      </c>
      <c r="P16" s="58">
        <f t="array" ref="P16">IF(INDIRECT("'"&amp;A$16&amp;"'!"&amp;"B17") ="",INDIRECT("'"&amp;A$16&amp;"'!"&amp;"C17"),INDIRECT("'"&amp;A$16&amp;"'!"&amp;"B17"))</f>
        <v>45.39</v>
      </c>
      <c r="Q16" s="58">
        <f t="array" ref="Q16">IFERROR(AVERAGE(INDIRECT("'"&amp;A$16&amp;"'!"&amp;"B17:F17")),0)</f>
        <v>45.81</v>
      </c>
      <c r="R16" s="59">
        <f t="array" ref="R16">IF(INDIRECT("'"&amp;A$16&amp;"'!"&amp;"B10") ="",INDIRECT("'"&amp;A$16&amp;"'!"&amp;"C10"),INDIRECT("'"&amp;A$16&amp;"'!"&amp;"B10"))</f>
        <v>0.525</v>
      </c>
      <c r="S16" s="59">
        <f t="array" ref="S16">IFERROR(AVERAGE(INDIRECT("'"&amp;A$16&amp;"'!"&amp;"B10:F10")),0)</f>
        <v>0.6807648</v>
      </c>
      <c r="T16" s="58">
        <f t="shared" ref="T16:U16" si="22">R16*4</f>
        <v>2.1</v>
      </c>
      <c r="U16" s="58">
        <f t="shared" si="22"/>
        <v>2.7230592</v>
      </c>
      <c r="V16" s="60">
        <f t="array" ref="V16">IF(INDIRECT("'"&amp;A$16&amp;"'!"&amp;"B15") ="",INDIRECT("'"&amp;A$16&amp;"'!"&amp;"C15"),INDIRECT("'"&amp;A$16&amp;"'!"&amp;"B15"))</f>
        <v>0.3167</v>
      </c>
      <c r="W16" s="60">
        <f t="array" ref="W16">IFERROR(AVERAGE(INDIRECT("'"&amp;A$16&amp;"'!"&amp;"B15:F15")),"")</f>
        <v>0.3185</v>
      </c>
      <c r="X16" s="60">
        <f t="array" ref="X16">IF(INDIRECT("'"&amp;A$16&amp;"'!"&amp;"B5") ="",INDIRECT("'"&amp;A$16&amp;"'!"&amp;"C5"),INDIRECT("'"&amp;A$16&amp;"'!"&amp;"B5"))</f>
        <v>0.9013</v>
      </c>
      <c r="Y16" s="60">
        <f t="array" ref="Y16">IFERROR(AVERAGE(INDIRECT("'"&amp;A$16&amp;"'!"&amp;"B5:F5")),0)</f>
        <v>0.920675</v>
      </c>
      <c r="Z16" s="60">
        <f t="array" ref="Z16">IF(INDIRECT("'"&amp;A$16&amp;"'!"&amp;"B7") ="",INDIRECT("'"&amp;A$16&amp;"'!"&amp;"C7"),INDIRECT("'"&amp;A$16&amp;"'!"&amp;"B7"))</f>
        <v>0.6011</v>
      </c>
      <c r="AA16" s="60">
        <f t="array" ref="AA16">IFERROR(AVERAGE(INDIRECT("'"&amp;A$16&amp;"'!"&amp;"B7:F7")),0)</f>
        <v>0.618525</v>
      </c>
      <c r="AB16" s="61">
        <f t="shared" si="5"/>
        <v>0.5108820774</v>
      </c>
      <c r="AC16" s="62">
        <f t="shared" si="6"/>
        <v>0.06258467479</v>
      </c>
      <c r="AD16" s="63">
        <f t="shared" si="7"/>
        <v>470.792092</v>
      </c>
      <c r="AE16" s="63">
        <f t="shared" si="8"/>
        <v>472.4571429</v>
      </c>
      <c r="AF16" s="62">
        <f t="shared" si="9"/>
        <v>0.04320845783</v>
      </c>
      <c r="AG16" s="62">
        <f t="shared" si="10"/>
        <v>0.04826476672</v>
      </c>
      <c r="AI16" s="62">
        <f t="array" ref="AI16">IF(INDIRECT("'"&amp;A$16&amp;"'!"&amp;"B16") ="",INDIRECT("'"&amp;A$16&amp;"'!"&amp;"C16"),INDIRECT("'"&amp;A$16&amp;"'!"&amp;"B16"))</f>
        <v>0.0643</v>
      </c>
      <c r="AJ16" s="62">
        <f t="array" ref="AJ16">AVERAGE(INDIRECT("'"&amp;A$16&amp;"'!"&amp;"B16:F16"))</f>
        <v>0.06805</v>
      </c>
      <c r="AK16" s="62">
        <f t="shared" si="11"/>
        <v>0.06020492224</v>
      </c>
      <c r="AL16" s="64">
        <f t="shared" si="12"/>
        <v>16.8</v>
      </c>
      <c r="AM16" s="64">
        <f t="shared" si="13"/>
        <v>21.7844736</v>
      </c>
      <c r="AN16" s="64">
        <f t="shared" si="21"/>
        <v>67.2</v>
      </c>
      <c r="AO16" s="64">
        <f t="shared" si="15"/>
        <v>87.1378944</v>
      </c>
      <c r="AP16" s="65">
        <f t="shared" si="16"/>
        <v>0.00568951589</v>
      </c>
      <c r="AQ16" s="1"/>
      <c r="AR16" s="1"/>
      <c r="AS16" s="1"/>
      <c r="AT16" s="1"/>
      <c r="AU16" s="1"/>
      <c r="AV16" s="1"/>
    </row>
    <row r="17" ht="14.25" hidden="1" customHeight="1">
      <c r="A17" s="46" t="s">
        <v>67</v>
      </c>
      <c r="B17" s="69" t="s">
        <v>68</v>
      </c>
      <c r="C17" s="48" t="str">
        <f t="array" ref="C17">IF(INDIRECT("'"&amp;A$17&amp;"'!"&amp;"B10") ="",INDIRECT("'"&amp;A$17&amp;"'!"&amp;"C1"),INDIRECT("'"&amp;A$17&amp;"'!"&amp;"B1"))</f>
        <v>2022 Q4</v>
      </c>
      <c r="D17" s="49">
        <f>IFERROR(E17/SUM(E13:E35),0)</f>
        <v>0</v>
      </c>
      <c r="E17" s="50">
        <f>SUMIFS(COMPRAS!B:B,COMPRAS!A:A,B17)</f>
        <v>0</v>
      </c>
      <c r="F17" s="51">
        <f>IFERROR(AVERAGEIFS(COMPRAS!C:C,COMPRAS!A:A,B17),0)</f>
        <v>0</v>
      </c>
      <c r="G17" s="52">
        <f>IFERROR(__xludf.DUMMYFUNCTION("GOOGLEFINANCE(A17,""price"")"),38.8)</f>
        <v>38.8</v>
      </c>
      <c r="H17" s="53">
        <f>IFERROR(__xludf.DUMMYFUNCTION("(GOOGLEFINANCE(A17,""high52"") + GOOGLEFINANCE(A17,""low52""))/2"),36.0)</f>
        <v>36</v>
      </c>
      <c r="I17" s="54">
        <f>IFERROR(__xludf.DUMMYFUNCTION("GOOGLEFINANCE(A17,""changepct"")"),0.0)</f>
        <v>0</v>
      </c>
      <c r="J17" s="67">
        <f>IFERROR(__xludf.DUMMYFUNCTION("GOOGLEFINANCE(A17,""volume"")"),17.0)</f>
        <v>17</v>
      </c>
      <c r="K17" s="51">
        <f t="shared" si="2"/>
        <v>0</v>
      </c>
      <c r="L17" s="51">
        <f>IFERROR(SUMIFS(COMPRAS!G:G,COMPRAS!A:A,B17),0)</f>
        <v>0</v>
      </c>
      <c r="M17" s="51">
        <f t="shared" si="3"/>
        <v>0</v>
      </c>
      <c r="N17" s="56">
        <f t="array" ref="N17">IF(INDIRECT("'"&amp;A$17&amp;"'!"&amp;"B12") ="",INDIRECT("'"&amp;A$17&amp;"'!"&amp;"C12"),INDIRECT("'"&amp;A$17&amp;"'!"&amp;"B12"))</f>
        <v>0.0427</v>
      </c>
      <c r="O17" s="57">
        <f t="array" ref="O17">IFERROR(AVERAGE(INDIRECT("'"&amp;A$17&amp;"'!"&amp;"B12:F12")),"")</f>
        <v>0.0409</v>
      </c>
      <c r="P17" s="58">
        <f t="array" ref="P17">IF(INDIRECT("'"&amp;A$17&amp;"'!"&amp;"B17") ="",INDIRECT("'"&amp;A$17&amp;"'!"&amp;"C17"),INDIRECT("'"&amp;A$17&amp;"'!"&amp;"B17"))</f>
        <v>53.82</v>
      </c>
      <c r="Q17" s="58">
        <f t="array" ref="Q17">IFERROR(AVERAGE(INDIRECT("'"&amp;A$17&amp;"'!"&amp;"B17:F17")),0)</f>
        <v>53.215</v>
      </c>
      <c r="R17" s="59">
        <f t="array" ref="R17">IF(INDIRECT("'"&amp;A$17&amp;"'!"&amp;"B10") ="",INDIRECT("'"&amp;A$17&amp;"'!"&amp;"C10"),INDIRECT("'"&amp;A$17&amp;"'!"&amp;"B10"))</f>
        <v>0</v>
      </c>
      <c r="S17" s="59">
        <f t="array" ref="S17">IFERROR(AVERAGE(INDIRECT("'"&amp;A$17&amp;"'!"&amp;"B10:F10")),0)</f>
        <v>0</v>
      </c>
      <c r="T17" s="58">
        <f t="shared" ref="T17:U17" si="23">R17*4</f>
        <v>0</v>
      </c>
      <c r="U17" s="58">
        <f t="shared" si="23"/>
        <v>0</v>
      </c>
      <c r="V17" s="60">
        <f t="array" ref="V17">IF(INDIRECT("'"&amp;A$17&amp;"'!"&amp;"B15") ="",INDIRECT("'"&amp;A$17&amp;"'!"&amp;"C15"),INDIRECT("'"&amp;A$17&amp;"'!"&amp;"B15"))</f>
        <v>0.2454</v>
      </c>
      <c r="W17" s="60">
        <f t="array" ref="W17">IFERROR(AVERAGE(INDIRECT("'"&amp;A$17&amp;"'!"&amp;"B15:F15")),"")</f>
        <v>0.25075</v>
      </c>
      <c r="X17" s="60">
        <f t="array" ref="X17">IF(INDIRECT("'"&amp;A$17&amp;"'!"&amp;"B5") ="",INDIRECT("'"&amp;A$17&amp;"'!"&amp;"C5"),INDIRECT("'"&amp;A$17&amp;"'!"&amp;"B5"))</f>
        <v>0.8022</v>
      </c>
      <c r="Y17" s="60">
        <f t="array" ref="Y17">IFERROR(AVERAGE(INDIRECT("'"&amp;A$17&amp;"'!"&amp;"B5:F5")),0)</f>
        <v>0.811475</v>
      </c>
      <c r="Z17" s="60">
        <f t="array" ref="Z17">IF(INDIRECT("'"&amp;A$17&amp;"'!"&amp;"B7") ="",INDIRECT("'"&amp;A$17&amp;"'!"&amp;"C7"),INDIRECT("'"&amp;A$17&amp;"'!"&amp;"B7"))</f>
        <v>0.1631</v>
      </c>
      <c r="AA17" s="60">
        <f t="array" ref="AA17">IFERROR(AVERAGE(INDIRECT("'"&amp;A$17&amp;"'!"&amp;"B7:F7")),0)</f>
        <v>-0.818725</v>
      </c>
      <c r="AB17" s="61" t="str">
        <f t="shared" si="5"/>
        <v/>
      </c>
      <c r="AC17" s="62">
        <f t="shared" si="6"/>
        <v>0</v>
      </c>
      <c r="AD17" s="63" t="str">
        <f t="shared" si="7"/>
        <v/>
      </c>
      <c r="AE17" s="63" t="str">
        <f t="shared" si="8"/>
        <v/>
      </c>
      <c r="AF17" s="62">
        <f t="shared" si="9"/>
        <v>0.3871134021</v>
      </c>
      <c r="AG17" s="62">
        <f t="shared" si="10"/>
        <v>0</v>
      </c>
      <c r="AI17" s="62">
        <f t="array" ref="AI17">IF(INDIRECT("'"&amp;A$17&amp;"'!"&amp;"B16") ="",INDIRECT("'"&amp;A$17&amp;"'!"&amp;"C16"),INDIRECT("'"&amp;A$17&amp;"'!"&amp;"B16"))</f>
        <v>0</v>
      </c>
      <c r="AJ17" s="62">
        <f t="array" ref="AJ17">IFERROR(AVERAGE(INDIRECT("'"&amp;A$17&amp;"'!"&amp;"B16:F16")),"")</f>
        <v>0</v>
      </c>
      <c r="AK17" s="62">
        <f t="shared" si="11"/>
        <v>0</v>
      </c>
      <c r="AL17" s="64" t="str">
        <f t="shared" si="12"/>
        <v/>
      </c>
      <c r="AM17" s="64" t="str">
        <f t="shared" si="13"/>
        <v/>
      </c>
      <c r="AN17" s="64" t="str">
        <f t="shared" si="21"/>
        <v/>
      </c>
      <c r="AO17" s="64" t="str">
        <f t="shared" si="15"/>
        <v/>
      </c>
      <c r="AP17" s="65" t="str">
        <f t="shared" si="16"/>
        <v/>
      </c>
      <c r="AQ17" s="1"/>
      <c r="AR17" s="1"/>
      <c r="AS17" s="1"/>
      <c r="AT17" s="1"/>
      <c r="AU17" s="1"/>
      <c r="AV17" s="1"/>
    </row>
    <row r="18" ht="14.25" customHeight="1">
      <c r="A18" s="46" t="s">
        <v>69</v>
      </c>
      <c r="B18" s="66" t="s">
        <v>70</v>
      </c>
      <c r="C18" s="48" t="str">
        <f t="array" ref="C18">IF(INDIRECT("'"&amp;A$18&amp;"'!"&amp;"B10") ="",INDIRECT("'"&amp;A$18&amp;"'!"&amp;"C1"),INDIRECT("'"&amp;A$18&amp;"'!"&amp;"B1"))</f>
        <v>2022 Q4</v>
      </c>
      <c r="D18" s="49">
        <f>IFERROR(E18/SUM(E13:E35),0)</f>
        <v>0.03977272727</v>
      </c>
      <c r="E18" s="50">
        <f>SUMIFS(COMPRAS!B:B,COMPRAS!A:A,B18)</f>
        <v>14</v>
      </c>
      <c r="F18" s="51">
        <f>IFERROR(AVERAGEIFS(COMPRAS!C:C,COMPRAS!A:A,B18),0)</f>
        <v>25.45</v>
      </c>
      <c r="G18" s="52">
        <f>IFERROR(__xludf.DUMMYFUNCTION("GOOGLEFINANCE(A18,""price"")"),19.5)</f>
        <v>19.5</v>
      </c>
      <c r="H18" s="53">
        <f>IFERROR(__xludf.DUMMYFUNCTION("IFERROR(G18,(GOOGLEFINANCE(A18,""high52"") + GOOGLEFINANCE(A18,""low52""))/2)"),19.5)</f>
        <v>19.5</v>
      </c>
      <c r="I18" s="54">
        <f>IFERROR(__xludf.DUMMYFUNCTION("GOOGLEFINANCE(A18,""changepct"")"),2.63)</f>
        <v>2.63</v>
      </c>
      <c r="J18" s="67">
        <f>IFERROR(__xludf.DUMMYFUNCTION("GOOGLEFINANCE(A18,""volume"")"),706.0)</f>
        <v>706</v>
      </c>
      <c r="K18" s="51">
        <f t="shared" si="2"/>
        <v>356.3</v>
      </c>
      <c r="L18" s="51">
        <f>IFERROR(SUMIFS(COMPRAS!G:G,COMPRAS!A:A,B18),0)</f>
        <v>357.40453</v>
      </c>
      <c r="M18" s="51">
        <f t="shared" si="3"/>
        <v>273</v>
      </c>
      <c r="N18" s="56" t="str">
        <f t="array" ref="N18">IF(INDIRECT("'"&amp;A$18&amp;"'!"&amp;"B12") ="",INDIRECT("'"&amp;A$18&amp;"'!"&amp;"C12"),INDIRECT("'"&amp;A$18&amp;"'!"&amp;"B12"))</f>
        <v/>
      </c>
      <c r="O18" s="57" t="str">
        <f t="array" ref="O18">IFERROR(AVERAGE(INDIRECT("'"&amp;A$18&amp;"'!"&amp;"B12:F12")),"")</f>
        <v/>
      </c>
      <c r="P18" s="58" t="str">
        <f t="array" ref="P18">IF(INDIRECT("'"&amp;A$18&amp;"'!"&amp;"B17") ="",INDIRECT("'"&amp;A$18&amp;"'!"&amp;"C17"),INDIRECT("'"&amp;A$18&amp;"'!"&amp;"B17"))</f>
        <v/>
      </c>
      <c r="Q18" s="58" t="str">
        <f t="array" ref="Q18">IFERROR(AVERAGE(INDIRECT("'"&amp;A$18&amp;"'!"&amp;"B17:F17")),"")</f>
        <v/>
      </c>
      <c r="R18" s="59">
        <f t="array" ref="R18">IF(INDIRECT("'"&amp;A$18&amp;"'!"&amp;"B10") ="",INDIRECT("'"&amp;A$18&amp;"'!"&amp;"C10"),INDIRECT("'"&amp;A$18&amp;"'!"&amp;"B10"))</f>
        <v>0.480904</v>
      </c>
      <c r="S18" s="59">
        <f t="array" ref="S18">IFERROR(AVERAGE(INDIRECT("'"&amp;A$18&amp;"'!"&amp;"B10:F10")),"")</f>
        <v>0.4712025</v>
      </c>
      <c r="T18" s="58">
        <f t="shared" ref="T18:U18" si="24">R18*4</f>
        <v>1.923616</v>
      </c>
      <c r="U18" s="58">
        <f t="shared" si="24"/>
        <v>1.88481</v>
      </c>
      <c r="V18" s="60" t="str">
        <f t="array" ref="V18">IF(INDIRECT("'"&amp;A$18&amp;"'!"&amp;"B15") ="",INDIRECT("'"&amp;A$18&amp;"'!"&amp;"C15"),INDIRECT("'"&amp;A$18&amp;"'!"&amp;"B15"))</f>
        <v/>
      </c>
      <c r="W18" s="60" t="str">
        <f t="array" ref="W18">IFERROR(AVERAGE(INDIRECT("'"&amp;A$18&amp;"'!"&amp;"B15:F15")),"")</f>
        <v/>
      </c>
      <c r="X18" s="60" t="str">
        <f t="array" ref="X18">IF(INDIRECT("'"&amp;A$18&amp;"'!"&amp;"B5") ="",INDIRECT("'"&amp;A$18&amp;"'!"&amp;"C5"),INDIRECT("'"&amp;A$18&amp;"'!"&amp;"B5"))</f>
        <v/>
      </c>
      <c r="Y18" s="60" t="str">
        <f t="array" ref="Y18">IFERROR(AVERAGE(INDIRECT("'"&amp;A$18&amp;"'!"&amp;"B5:F5")),"")</f>
        <v/>
      </c>
      <c r="Z18" s="60" t="str">
        <f t="array" ref="Z18">IF(INDIRECT("'"&amp;A$18&amp;"'!"&amp;"B7") ="",INDIRECT("'"&amp;A$18&amp;"'!"&amp;"C7"),INDIRECT("'"&amp;A$18&amp;"'!"&amp;"B7"))</f>
        <v/>
      </c>
      <c r="AA18" s="60" t="str">
        <f t="array" ref="AA18">IFERROR(AVERAGE(INDIRECT("'"&amp;A$18&amp;"'!"&amp;"B7:F7")),"")</f>
        <v/>
      </c>
      <c r="AB18" s="61">
        <f t="shared" si="5"/>
        <v>-0.2361596536</v>
      </c>
      <c r="AC18" s="62">
        <f t="shared" si="6"/>
        <v>0.09665692308</v>
      </c>
      <c r="AD18" s="63">
        <f t="shared" si="7"/>
        <v>-84.40453</v>
      </c>
      <c r="AE18" s="63">
        <f t="shared" si="8"/>
        <v>-83.3</v>
      </c>
      <c r="AF18" s="62" t="str">
        <f t="shared" si="9"/>
        <v/>
      </c>
      <c r="AG18" s="62">
        <f t="shared" si="10"/>
        <v>0.09864697436</v>
      </c>
      <c r="AI18" s="62" t="str">
        <f t="array" ref="AI18">IF(INDIRECT("'"&amp;A$18&amp;"'!"&amp;"B16") ="",INDIRECT("'"&amp;A$18&amp;"'!"&amp;"C16"),INDIRECT("'"&amp;A$18&amp;"'!"&amp;"B16"))</f>
        <v/>
      </c>
      <c r="AJ18" s="62" t="str">
        <f t="array" ref="AJ18">IFERROR(AVERAGE(INDIRECT("'"&amp;A$18&amp;"'!"&amp;"B16:F16")),"")</f>
        <v/>
      </c>
      <c r="AK18" s="62">
        <f t="shared" si="11"/>
        <v>0.09864697436</v>
      </c>
      <c r="AL18" s="64">
        <f t="shared" si="12"/>
        <v>6.732656</v>
      </c>
      <c r="AM18" s="64">
        <f t="shared" si="13"/>
        <v>6.596835</v>
      </c>
      <c r="AN18" s="64">
        <f t="shared" si="21"/>
        <v>26.930624</v>
      </c>
      <c r="AO18" s="64">
        <f t="shared" si="15"/>
        <v>26.38734</v>
      </c>
      <c r="AP18" s="65">
        <f t="shared" si="16"/>
        <v>0.003844309441</v>
      </c>
      <c r="AQ18" s="1"/>
      <c r="AR18" s="1"/>
      <c r="AS18" s="1"/>
      <c r="AT18" s="1"/>
      <c r="AU18" s="1"/>
      <c r="AV18" s="1"/>
    </row>
    <row r="19" ht="14.25" customHeight="1">
      <c r="A19" s="46" t="s">
        <v>71</v>
      </c>
      <c r="B19" s="66" t="s">
        <v>72</v>
      </c>
      <c r="C19" s="48" t="str">
        <f t="array" ref="C19">IF(INDIRECT("'"&amp;A$19&amp;"'!"&amp;"B10") ="",INDIRECT("'"&amp;A$19&amp;"'!"&amp;"C1"),INDIRECT("'"&amp;A$19&amp;"'!"&amp;"B1"))</f>
        <v>2023 Q1</v>
      </c>
      <c r="D19" s="49">
        <f>IFERROR(E19/SUM(E13:E35),0)</f>
        <v>0.03693181818</v>
      </c>
      <c r="E19" s="50">
        <f>SUMIFS(COMPRAS!B:B,COMPRAS!A:A,B19)</f>
        <v>13</v>
      </c>
      <c r="F19" s="51">
        <f>IFERROR(AVERAGEIFS(COMPRAS!C:C,COMPRAS!A:A,B19),0)</f>
        <v>6.052857143</v>
      </c>
      <c r="G19" s="52">
        <f>IFERROR(__xludf.DUMMYFUNCTION("GOOGLEFINANCE(A19,""price"")"),12.49)</f>
        <v>12.49</v>
      </c>
      <c r="H19" s="53">
        <f>IFERROR(__xludf.DUMMYFUNCTION("(GOOGLEFINANCE(A19,""high52"") + GOOGLEFINANCE(A19,""low52""))/2"),10.350000000000001)</f>
        <v>10.35</v>
      </c>
      <c r="I19" s="54">
        <f>IFERROR(__xludf.DUMMYFUNCTION("GOOGLEFINANCE(A19,""changepct"")"),-0.4)</f>
        <v>-0.4</v>
      </c>
      <c r="J19" s="67">
        <f>IFERROR(__xludf.DUMMYFUNCTION("GOOGLEFINANCE(A19,""volume"")"),210011.0)</f>
        <v>210011</v>
      </c>
      <c r="K19" s="51">
        <f t="shared" si="2"/>
        <v>78.68714286</v>
      </c>
      <c r="L19" s="51">
        <f>IFERROR(SUMIFS(COMPRAS!G:G,COMPRAS!A:A,B19),0)</f>
        <v>78.452451</v>
      </c>
      <c r="M19" s="51">
        <f t="shared" si="3"/>
        <v>162.37</v>
      </c>
      <c r="N19" s="56">
        <f t="array" ref="N19">IF(INDIRECT("'"&amp;A$19&amp;"'!"&amp;"B12") ="",INDIRECT("'"&amp;A$19&amp;"'!"&amp;"C12"),INDIRECT("'"&amp;A$19&amp;"'!"&amp;"B12"))</f>
        <v>0.0695</v>
      </c>
      <c r="O19" s="57">
        <f t="array" ref="O19">IFERROR(AVERAGE(INDIRECT("'"&amp;A$19&amp;"'!"&amp;"B12:F12")),"")</f>
        <v>0.06736666667</v>
      </c>
      <c r="P19" s="58">
        <f t="array" ref="P19">IF(INDIRECT("'"&amp;A$19&amp;"'!"&amp;"B17") ="",INDIRECT("'"&amp;A$19&amp;"'!"&amp;"C17"),INDIRECT("'"&amp;A$19&amp;"'!"&amp;"B17"))</f>
        <v>28.08</v>
      </c>
      <c r="Q19" s="58">
        <f t="array" ref="Q19">IFERROR(AVERAGE(INDIRECT("'"&amp;A$19&amp;"'!"&amp;"B17:F17")),0)</f>
        <v>27.21</v>
      </c>
      <c r="R19" s="59">
        <f t="array" ref="R19">IF(INDIRECT("'"&amp;A$19&amp;"'!"&amp;"B10") ="",INDIRECT("'"&amp;A$19&amp;"'!"&amp;"C10"),INDIRECT("'"&amp;A$19&amp;"'!"&amp;"B10"))</f>
        <v>0</v>
      </c>
      <c r="S19" s="59">
        <f t="array" ref="S19">IFERROR(AVERAGE(INDIRECT("'"&amp;A$19&amp;"'!"&amp;"B10:F10")),0)</f>
        <v>0.0218618</v>
      </c>
      <c r="T19" s="58">
        <f t="shared" ref="T19:U19" si="25">R19*4</f>
        <v>0</v>
      </c>
      <c r="U19" s="58">
        <f t="shared" si="25"/>
        <v>0.0874472</v>
      </c>
      <c r="V19" s="60">
        <f t="array" ref="V19">IF(INDIRECT("'"&amp;A$19&amp;"'!"&amp;"B15") ="",INDIRECT("'"&amp;A$19&amp;"'!"&amp;"C15"),INDIRECT("'"&amp;A$19&amp;"'!"&amp;"B15"))</f>
        <v>0.4535</v>
      </c>
      <c r="W19" s="60">
        <f t="array" ref="W19">IFERROR(AVERAGE(INDIRECT("'"&amp;A$19&amp;"'!"&amp;"B15:F15")),"")</f>
        <v>0.4451333333</v>
      </c>
      <c r="X19" s="60">
        <f t="array" ref="X19">IF(INDIRECT("'"&amp;A$19&amp;"'!"&amp;"B5") ="",INDIRECT("'"&amp;A$19&amp;"'!"&amp;"C5"),INDIRECT("'"&amp;A$19&amp;"'!"&amp;"B5"))</f>
        <v>0.7886</v>
      </c>
      <c r="Y19" s="60">
        <f t="array" ref="Y19">IFERROR(AVERAGE(INDIRECT("'"&amp;A$19&amp;"'!"&amp;"B5:F5")),0)</f>
        <v>0.77588</v>
      </c>
      <c r="Z19" s="60">
        <f t="array" ref="Z19">IF(INDIRECT("'"&amp;A$19&amp;"'!"&amp;"B7") ="",INDIRECT("'"&amp;A$19&amp;"'!"&amp;"C7"),INDIRECT("'"&amp;A$19&amp;"'!"&amp;"B7"))</f>
        <v>0.1722</v>
      </c>
      <c r="AA19" s="60">
        <f t="array" ref="AA19">IFERROR(AVERAGE(INDIRECT("'"&amp;A$19&amp;"'!"&amp;"B7:F7")),0)</f>
        <v>0.24642</v>
      </c>
      <c r="AB19" s="61">
        <f t="shared" si="5"/>
        <v>1.069661278</v>
      </c>
      <c r="AC19" s="62">
        <f t="shared" si="6"/>
        <v>0.007001377102</v>
      </c>
      <c r="AD19" s="63">
        <f t="shared" si="7"/>
        <v>83.917549</v>
      </c>
      <c r="AE19" s="63">
        <f t="shared" si="8"/>
        <v>83.68285714</v>
      </c>
      <c r="AF19" s="62">
        <f t="shared" si="9"/>
        <v>1.248198559</v>
      </c>
      <c r="AG19" s="62">
        <f t="shared" si="10"/>
        <v>0</v>
      </c>
      <c r="AI19" s="62">
        <f t="array" ref="AI19">IF(INDIRECT("'"&amp;A$19&amp;"'!"&amp;"B16") ="",INDIRECT("'"&amp;A$19&amp;"'!"&amp;"C16"),INDIRECT("'"&amp;A$19&amp;"'!"&amp;"B16"))</f>
        <v>0</v>
      </c>
      <c r="AJ19" s="62">
        <f t="array" ref="AJ19">AVERAGE(INDIRECT("'"&amp;A$19&amp;"'!"&amp;"B16:F16"))</f>
        <v>0.03436666667</v>
      </c>
      <c r="AK19" s="62">
        <f t="shared" si="11"/>
        <v>0.01145555556</v>
      </c>
      <c r="AL19" s="64" t="str">
        <f t="shared" si="12"/>
        <v/>
      </c>
      <c r="AM19" s="64">
        <f t="shared" si="13"/>
        <v>0.2842034</v>
      </c>
      <c r="AN19" s="64" t="str">
        <f t="shared" si="21"/>
        <v/>
      </c>
      <c r="AO19" s="64">
        <f t="shared" si="15"/>
        <v>1.1368136</v>
      </c>
      <c r="AP19" s="65">
        <f t="shared" si="16"/>
        <v>0.0002585735861</v>
      </c>
      <c r="AQ19" s="1"/>
      <c r="AR19" s="1"/>
      <c r="AS19" s="1"/>
      <c r="AT19" s="1"/>
      <c r="AU19" s="1"/>
      <c r="AV19" s="1"/>
    </row>
    <row r="20" ht="14.25" customHeight="1">
      <c r="A20" s="46" t="s">
        <v>73</v>
      </c>
      <c r="B20" s="66" t="s">
        <v>74</v>
      </c>
      <c r="C20" s="48" t="str">
        <f t="array" ref="C20">IF(INDIRECT("'"&amp;A$20&amp;"'!"&amp;"B10") ="",INDIRECT("'"&amp;A$20&amp;"'!"&amp;"C1"),INDIRECT("'"&amp;A$20&amp;"'!"&amp;"B1"))</f>
        <v>2023 Q1</v>
      </c>
      <c r="D20" s="49">
        <f>IFERROR(E20/SUM(E13:E35),0)</f>
        <v>0.01136363636</v>
      </c>
      <c r="E20" s="50">
        <f>SUMIFS(COMPRAS!B:B,COMPRAS!A:A,B20)</f>
        <v>4</v>
      </c>
      <c r="F20" s="51">
        <f>IFERROR(AVERAGEIFS(COMPRAS!C:C,COMPRAS!A:A,B20),0)</f>
        <v>5.71</v>
      </c>
      <c r="G20" s="52">
        <f>IFERROR(__xludf.DUMMYFUNCTION("GOOGLEFINANCE(A20,""price"")"),5.1)</f>
        <v>5.1</v>
      </c>
      <c r="H20" s="53">
        <f>IFERROR(__xludf.DUMMYFUNCTION("(GOOGLEFINANCE(A20,""high52"") + GOOGLEFINANCE(A20,""low52""))/2"),5.1899999999999995)</f>
        <v>5.19</v>
      </c>
      <c r="I20" s="54">
        <f>IFERROR(__xludf.DUMMYFUNCTION("GOOGLEFINANCE(A20,""changepct"")"),0.0)</f>
        <v>0</v>
      </c>
      <c r="J20" s="67">
        <f>IFERROR(__xludf.DUMMYFUNCTION("GOOGLEFINANCE(A20,""volume"")"),225136.0)</f>
        <v>225136</v>
      </c>
      <c r="K20" s="51">
        <f t="shared" si="2"/>
        <v>22.84</v>
      </c>
      <c r="L20" s="51">
        <f>IFERROR(SUMIFS(COMPRAS!G:G,COMPRAS!A:A,B20),0)</f>
        <v>22.911375</v>
      </c>
      <c r="M20" s="51">
        <f t="shared" si="3"/>
        <v>20.4</v>
      </c>
      <c r="N20" s="56">
        <f t="array" ref="N20">IF(INDIRECT("'"&amp;A$20&amp;"'!"&amp;"B12") ="",INDIRECT("'"&amp;A$20&amp;"'!"&amp;"C12"),INDIRECT("'"&amp;A$20&amp;"'!"&amp;"B12"))</f>
        <v>0.0748</v>
      </c>
      <c r="O20" s="57">
        <f t="array" ref="O20">IFERROR(AVERAGE(INDIRECT("'"&amp;A$20&amp;"'!"&amp;"B12:F12")),"")</f>
        <v>0.07556666667</v>
      </c>
      <c r="P20" s="58">
        <f t="array" ref="P20">IF(INDIRECT("'"&amp;A$20&amp;"'!"&amp;"B17") ="",INDIRECT("'"&amp;A$20&amp;"'!"&amp;"C17"),INDIRECT("'"&amp;A$20&amp;"'!"&amp;"B17"))</f>
        <v>15.34</v>
      </c>
      <c r="Q20" s="58">
        <f t="array" ref="Q20">IFERROR(AVERAGE(INDIRECT("'"&amp;A$20&amp;"'!"&amp;"B17:F17")),0)</f>
        <v>15.05</v>
      </c>
      <c r="R20" s="59">
        <f t="array" ref="R20">IF(INDIRECT("'"&amp;A$20&amp;"'!"&amp;"B10") ="",INDIRECT("'"&amp;A$20&amp;"'!"&amp;"C10"),INDIRECT("'"&amp;A$20&amp;"'!"&amp;"B10"))</f>
        <v>0.04</v>
      </c>
      <c r="S20" s="59">
        <f t="array" ref="S20">IFERROR(AVERAGE(INDIRECT("'"&amp;A$20&amp;"'!"&amp;"B10:F10")),0)</f>
        <v>0.025138</v>
      </c>
      <c r="T20" s="58">
        <f t="shared" ref="T20:U20" si="26">R20*4</f>
        <v>0.16</v>
      </c>
      <c r="U20" s="58">
        <f t="shared" si="26"/>
        <v>0.100552</v>
      </c>
      <c r="V20" s="60">
        <f t="array" ref="V20">IF(INDIRECT("'"&amp;A$20&amp;"'!"&amp;"B15") ="",INDIRECT("'"&amp;A$20&amp;"'!"&amp;"C15"),INDIRECT("'"&amp;A$20&amp;"'!"&amp;"B15"))</f>
        <v>0.3353</v>
      </c>
      <c r="W20" s="60">
        <f t="array" ref="W20">IFERROR(AVERAGE(INDIRECT("'"&amp;A$20&amp;"'!"&amp;"B15:F15")),"")</f>
        <v>0.3395333333</v>
      </c>
      <c r="X20" s="60">
        <f t="array" ref="X20">IF(INDIRECT("'"&amp;A$20&amp;"'!"&amp;"B5") ="",INDIRECT("'"&amp;A$20&amp;"'!"&amp;"C5"),INDIRECT("'"&amp;A$20&amp;"'!"&amp;"B5"))</f>
        <v>0.3359</v>
      </c>
      <c r="Y20" s="60">
        <f t="array" ref="Y20">IFERROR(AVERAGE(INDIRECT("'"&amp;A$20&amp;"'!"&amp;"B5:F5")),0)</f>
        <v>0.32938</v>
      </c>
      <c r="Z20" s="60">
        <f t="array" ref="Z20">IF(INDIRECT("'"&amp;A$20&amp;"'!"&amp;"B7") ="",INDIRECT("'"&amp;A$20&amp;"'!"&amp;"C7"),INDIRECT("'"&amp;A$20&amp;"'!"&amp;"B7"))</f>
        <v>0.0852</v>
      </c>
      <c r="AA20" s="60">
        <f t="array" ref="AA20">IFERROR(AVERAGE(INDIRECT("'"&amp;A$20&amp;"'!"&amp;"B7:F7")),0)</f>
        <v>0.06452</v>
      </c>
      <c r="AB20" s="61">
        <f t="shared" si="5"/>
        <v>-0.1096125833</v>
      </c>
      <c r="AC20" s="62">
        <f t="shared" si="6"/>
        <v>0.01971607843</v>
      </c>
      <c r="AD20" s="63">
        <f t="shared" si="7"/>
        <v>-2.511375</v>
      </c>
      <c r="AE20" s="63">
        <f t="shared" si="8"/>
        <v>-2.44</v>
      </c>
      <c r="AF20" s="62">
        <f t="shared" si="9"/>
        <v>2.007843137</v>
      </c>
      <c r="AG20" s="62">
        <f t="shared" si="10"/>
        <v>0.03137254902</v>
      </c>
      <c r="AI20" s="62">
        <f t="array" ref="AI20">IF(INDIRECT("'"&amp;A$20&amp;"'!"&amp;"B16") ="",INDIRECT("'"&amp;A$20&amp;"'!"&amp;"C16"),INDIRECT("'"&amp;A$20&amp;"'!"&amp;"B16"))</f>
        <v>0.0262</v>
      </c>
      <c r="AJ20" s="62">
        <f t="array" ref="AJ20">IFERROR(AVERAGE(INDIRECT("'"&amp;A$20&amp;"'!"&amp;"B16:F16")),"")</f>
        <v>0.0238</v>
      </c>
      <c r="AK20" s="62">
        <f t="shared" si="11"/>
        <v>0.02712418301</v>
      </c>
      <c r="AL20" s="64">
        <f t="shared" si="12"/>
        <v>0.16</v>
      </c>
      <c r="AM20" s="64">
        <f t="shared" si="13"/>
        <v>0.100552</v>
      </c>
      <c r="AN20" s="64">
        <f t="shared" si="21"/>
        <v>0.64</v>
      </c>
      <c r="AO20" s="64">
        <f t="shared" si="15"/>
        <v>0.402208</v>
      </c>
      <c r="AP20" s="65">
        <f t="shared" si="16"/>
        <v>0.0002240463458</v>
      </c>
      <c r="AQ20" s="1"/>
      <c r="AR20" s="1"/>
      <c r="AS20" s="1"/>
      <c r="AT20" s="1"/>
      <c r="AU20" s="1"/>
      <c r="AV20" s="1"/>
    </row>
    <row r="21" ht="14.25" customHeight="1">
      <c r="A21" s="46" t="s">
        <v>75</v>
      </c>
      <c r="B21" s="66" t="s">
        <v>76</v>
      </c>
      <c r="C21" s="48" t="str">
        <f t="array" ref="C21">IF(INDIRECT("'"&amp;A$21&amp;"'!"&amp;"B10") ="",INDIRECT("'"&amp;A$21&amp;"'!"&amp;"C1"),INDIRECT("'"&amp;A$21&amp;"'!"&amp;"B1"))</f>
        <v>2023 Q1</v>
      </c>
      <c r="D21" s="49">
        <f>IFERROR(E21/SUM(E13:E35),0)</f>
        <v>0.002840909091</v>
      </c>
      <c r="E21" s="50">
        <f>SUMIFS(COMPRAS!B:B,COMPRAS!A:A,B21)</f>
        <v>1</v>
      </c>
      <c r="F21" s="51">
        <f>IFERROR(AVERAGEIFS(COMPRAS!C:C,COMPRAS!A:A,B21),0)</f>
        <v>6.486666667</v>
      </c>
      <c r="G21" s="52">
        <f>IFERROR(__xludf.DUMMYFUNCTION("GOOGLEFINANCE(A21,""price"")"),5.02)</f>
        <v>5.02</v>
      </c>
      <c r="H21" s="53">
        <f>IFERROR(__xludf.DUMMYFUNCTION("(GOOGLEFINANCE(A21,""high52"") + GOOGLEFINANCE(A21,""low52""))/2"),5.505)</f>
        <v>5.505</v>
      </c>
      <c r="I21" s="54">
        <f>IFERROR(__xludf.DUMMYFUNCTION("GOOGLEFINANCE(A21,""changepct"")"),-3.28)</f>
        <v>-3.28</v>
      </c>
      <c r="J21" s="67">
        <f>IFERROR(__xludf.DUMMYFUNCTION("GOOGLEFINANCE(A21,""volume"")"),143563.0)</f>
        <v>143563</v>
      </c>
      <c r="K21" s="51">
        <f t="shared" si="2"/>
        <v>6.486666667</v>
      </c>
      <c r="L21" s="51">
        <f>IFERROR(SUMIFS(COMPRAS!G:G,COMPRAS!A:A,B21),0)</f>
        <v>8.310211</v>
      </c>
      <c r="M21" s="51">
        <f t="shared" si="3"/>
        <v>5.02</v>
      </c>
      <c r="N21" s="56">
        <f t="array" ref="N21">IF(INDIRECT("'"&amp;A$21&amp;"'!"&amp;"B12") ="",INDIRECT("'"&amp;A$21&amp;"'!"&amp;"C12"),INDIRECT("'"&amp;A$21&amp;"'!"&amp;"B12"))</f>
        <v>0.0368</v>
      </c>
      <c r="O21" s="57">
        <f t="array" ref="O21">IFERROR(AVERAGE(INDIRECT("'"&amp;A$21&amp;"'!"&amp;"B12:F12")),"")</f>
        <v>0.03775</v>
      </c>
      <c r="P21" s="58">
        <f t="array" ref="P21">IF(INDIRECT("'"&amp;A$21&amp;"'!"&amp;"B17") ="",INDIRECT("'"&amp;A$21&amp;"'!"&amp;"C17"),INDIRECT("'"&amp;A$21&amp;"'!"&amp;"B17"))</f>
        <v>17.49</v>
      </c>
      <c r="Q21" s="58">
        <f t="array" ref="Q21">IFERROR(AVERAGE(INDIRECT("'"&amp;A$21&amp;"'!"&amp;"B17:F17")),0)</f>
        <v>17.485</v>
      </c>
      <c r="R21" s="59">
        <f t="array" ref="R21">IF(INDIRECT("'"&amp;A$21&amp;"'!"&amp;"B10") ="",INDIRECT("'"&amp;A$21&amp;"'!"&amp;"C10"),INDIRECT("'"&amp;A$21&amp;"'!"&amp;"B10"))</f>
        <v>0.0868</v>
      </c>
      <c r="S21" s="59">
        <f t="array" ref="S21">IFERROR(AVERAGE(INDIRECT("'"&amp;A$21&amp;"'!"&amp;"B10:F10")),0)</f>
        <v>0.01736</v>
      </c>
      <c r="T21" s="58">
        <f t="shared" ref="T21:U21" si="27">R21*4</f>
        <v>0.3472</v>
      </c>
      <c r="U21" s="58">
        <f t="shared" si="27"/>
        <v>0.06944</v>
      </c>
      <c r="V21" s="60">
        <f t="array" ref="V21">IF(INDIRECT("'"&amp;A$21&amp;"'!"&amp;"B15") ="",INDIRECT("'"&amp;A$21&amp;"'!"&amp;"C15"),INDIRECT("'"&amp;A$21&amp;"'!"&amp;"B15"))</f>
        <v>0.2454</v>
      </c>
      <c r="W21" s="60">
        <f t="array" ref="W21">IFERROR(AVERAGE(INDIRECT("'"&amp;A$21&amp;"'!"&amp;"B15:F15")),"")</f>
        <v>0.26215</v>
      </c>
      <c r="X21" s="60">
        <f t="array" ref="X21">IF(INDIRECT("'"&amp;A$21&amp;"'!"&amp;"B5") ="",INDIRECT("'"&amp;A$21&amp;"'!"&amp;"C5"),INDIRECT("'"&amp;A$21&amp;"'!"&amp;"B5"))</f>
        <v>0.7935</v>
      </c>
      <c r="Y21" s="60">
        <f t="array" ref="Y21">IFERROR(AVERAGE(INDIRECT("'"&amp;A$21&amp;"'!"&amp;"B5:F5")),0)</f>
        <v>0.83485</v>
      </c>
      <c r="Z21" s="60">
        <f t="array" ref="Z21">IF(INDIRECT("'"&amp;A$21&amp;"'!"&amp;"B7") ="",INDIRECT("'"&amp;A$21&amp;"'!"&amp;"C7"),INDIRECT("'"&amp;A$21&amp;"'!"&amp;"B7"))</f>
        <v>0.2794</v>
      </c>
      <c r="AA21" s="60">
        <f t="array" ref="AA21">IFERROR(AVERAGE(INDIRECT("'"&amp;A$21&amp;"'!"&amp;"B7:F7")),0)</f>
        <v>0.2711</v>
      </c>
      <c r="AB21" s="61">
        <f t="shared" si="5"/>
        <v>-0.3959238821</v>
      </c>
      <c r="AC21" s="62">
        <f t="shared" si="6"/>
        <v>0.01383266932</v>
      </c>
      <c r="AD21" s="63">
        <f t="shared" si="7"/>
        <v>-3.290211</v>
      </c>
      <c r="AE21" s="63">
        <f t="shared" si="8"/>
        <v>-1.466666667</v>
      </c>
      <c r="AF21" s="62">
        <f t="shared" si="9"/>
        <v>2.484063745</v>
      </c>
      <c r="AG21" s="62">
        <f t="shared" si="10"/>
        <v>0.06916334661</v>
      </c>
      <c r="AI21" s="62">
        <f t="array" ref="AI21">IF(INDIRECT("'"&amp;A$21&amp;"'!"&amp;"B16") ="",INDIRECT("'"&amp;A$21&amp;"'!"&amp;"C16"),INDIRECT("'"&amp;A$21&amp;"'!"&amp;"B16"))</f>
        <v>0</v>
      </c>
      <c r="AJ21" s="62">
        <f t="array" ref="AJ21">IFERROR(AVERAGE(INDIRECT("'"&amp;A$21&amp;"'!"&amp;"B16:F16")),"")</f>
        <v>0</v>
      </c>
      <c r="AK21" s="62">
        <f t="shared" si="11"/>
        <v>0.02305444887</v>
      </c>
      <c r="AL21" s="64">
        <f t="shared" si="12"/>
        <v>0.0868</v>
      </c>
      <c r="AM21" s="64">
        <f t="shared" si="13"/>
        <v>0.01736</v>
      </c>
      <c r="AN21" s="64">
        <f t="shared" si="21"/>
        <v>0.3472</v>
      </c>
      <c r="AO21" s="64">
        <f t="shared" si="15"/>
        <v>0.06944</v>
      </c>
      <c r="AP21" s="65">
        <f t="shared" si="16"/>
        <v>0.00003929735603</v>
      </c>
      <c r="AQ21" s="1"/>
      <c r="AR21" s="1"/>
      <c r="AS21" s="1"/>
      <c r="AT21" s="1"/>
      <c r="AU21" s="1"/>
      <c r="AV21" s="1"/>
    </row>
    <row r="22" ht="14.25" customHeight="1">
      <c r="A22" s="46" t="s">
        <v>77</v>
      </c>
      <c r="B22" s="66" t="s">
        <v>78</v>
      </c>
      <c r="C22" s="48" t="str">
        <f t="array" ref="C22">IF(INDIRECT("'"&amp;A$22&amp;"'!"&amp;"B10") ="",INDIRECT("'"&amp;A$22&amp;"'!"&amp;"C1"),INDIRECT("'"&amp;A$22&amp;"'!"&amp;"B1"))</f>
        <v>2023 Q1</v>
      </c>
      <c r="D22" s="49">
        <f>IFERROR(E22/SUM(E13:E35),0)</f>
        <v>0</v>
      </c>
      <c r="E22" s="50">
        <f>SUMIFS(COMPRAS!B:B,COMPRAS!A:A,B22)</f>
        <v>0</v>
      </c>
      <c r="F22" s="51">
        <f>IFERROR(AVERAGEIFS(COMPRAS!C:C,COMPRAS!A:A,B22),0)</f>
        <v>0</v>
      </c>
      <c r="G22" s="52">
        <f>IFERROR(__xludf.DUMMYFUNCTION("GOOGLEFINANCE(A22,""price"")"),79.66)</f>
        <v>79.66</v>
      </c>
      <c r="H22" s="53">
        <f>IFERROR(__xludf.DUMMYFUNCTION("(GOOGLEFINANCE(A22,""high52"") + GOOGLEFINANCE(A22,""low52""))/2"),75.215)</f>
        <v>75.215</v>
      </c>
      <c r="I22" s="54">
        <f>IFERROR(__xludf.DUMMYFUNCTION("GOOGLEFINANCE(A22,""changepct"")"),2.18)</f>
        <v>2.18</v>
      </c>
      <c r="J22" s="67">
        <f>IFERROR(__xludf.DUMMYFUNCTION("GOOGLEFINANCE(A22,""volume"")"),525879.0)</f>
        <v>525879</v>
      </c>
      <c r="K22" s="51">
        <f t="shared" si="2"/>
        <v>0</v>
      </c>
      <c r="L22" s="51">
        <f>IFERROR(SUMIFS(COMPRAS!G:G,COMPRAS!A:A,B22),0)</f>
        <v>0</v>
      </c>
      <c r="M22" s="51">
        <f t="shared" si="3"/>
        <v>0</v>
      </c>
      <c r="N22" s="56">
        <f t="array" ref="N22">IF(INDIRECT("'"&amp;A$22&amp;"'!"&amp;"B12") ="",INDIRECT("'"&amp;A$22&amp;"'!"&amp;"C12"),INDIRECT("'"&amp;A$22&amp;"'!"&amp;"B12"))</f>
        <v>0.0707</v>
      </c>
      <c r="O22" s="57">
        <f t="array" ref="O22">IFERROR(AVERAGE(INDIRECT("'"&amp;A$22&amp;"'!"&amp;"B12:F12")),"")</f>
        <v>0.06623333333</v>
      </c>
      <c r="P22" s="58">
        <f t="array" ref="P22">IF(INDIRECT("'"&amp;A$22&amp;"'!"&amp;"B17") ="",INDIRECT("'"&amp;A$22&amp;"'!"&amp;"C17"),INDIRECT("'"&amp;A$22&amp;"'!"&amp;"B17"))</f>
        <v>54.51</v>
      </c>
      <c r="Q22" s="58">
        <f t="array" ref="Q22">IFERROR(AVERAGE(INDIRECT("'"&amp;A$22&amp;"'!"&amp;"B17:F17")),0)</f>
        <v>58.96</v>
      </c>
      <c r="R22" s="59">
        <f t="array" ref="R22">IF(INDIRECT("'"&amp;A$22&amp;"'!"&amp;"B10") ="",INDIRECT("'"&amp;A$22&amp;"'!"&amp;"C10"),INDIRECT("'"&amp;A$22&amp;"'!"&amp;"B10"))</f>
        <v>0.85</v>
      </c>
      <c r="S22" s="59">
        <f t="array" ref="S22">IFERROR(AVERAGE(INDIRECT("'"&amp;A$22&amp;"'!"&amp;"B10:F10")),0)</f>
        <v>0.644</v>
      </c>
      <c r="T22" s="58">
        <f t="shared" ref="T22:U22" si="28">R22*4</f>
        <v>3.4</v>
      </c>
      <c r="U22" s="58">
        <f t="shared" si="28"/>
        <v>2.576</v>
      </c>
      <c r="V22" s="60">
        <f t="array" ref="V22">IF(INDIRECT("'"&amp;A$22&amp;"'!"&amp;"B15") ="",INDIRECT("'"&amp;A$22&amp;"'!"&amp;"C15"),INDIRECT("'"&amp;A$22&amp;"'!"&amp;"B15"))</f>
        <v>0.2278</v>
      </c>
      <c r="W22" s="60">
        <f t="array" ref="W22">IFERROR(AVERAGE(INDIRECT("'"&amp;A$22&amp;"'!"&amp;"B15:F15")),"")</f>
        <v>0.2411666667</v>
      </c>
      <c r="X22" s="60">
        <f t="array" ref="X22">IF(INDIRECT("'"&amp;A$22&amp;"'!"&amp;"B5") ="",INDIRECT("'"&amp;A$22&amp;"'!"&amp;"C5"),INDIRECT("'"&amp;A$22&amp;"'!"&amp;"B5"))</f>
        <v>0.8657</v>
      </c>
      <c r="Y22" s="60">
        <f t="array" ref="Y22">IFERROR(AVERAGE(INDIRECT("'"&amp;A$22&amp;"'!"&amp;"B5:F5")),0)</f>
        <v>0.86852</v>
      </c>
      <c r="Z22" s="60">
        <f t="array" ref="Z22">IF(INDIRECT("'"&amp;A$22&amp;"'!"&amp;"B7") ="",INDIRECT("'"&amp;A$22&amp;"'!"&amp;"C7"),INDIRECT("'"&amp;A$22&amp;"'!"&amp;"B7"))</f>
        <v>0.6527</v>
      </c>
      <c r="AA22" s="60">
        <f t="array" ref="AA22">IFERROR(AVERAGE(INDIRECT("'"&amp;A$22&amp;"'!"&amp;"B7:F7")),0)</f>
        <v>0.5969</v>
      </c>
      <c r="AB22" s="61" t="str">
        <f t="shared" si="5"/>
        <v/>
      </c>
      <c r="AC22" s="62">
        <f t="shared" si="6"/>
        <v>0.03233743409</v>
      </c>
      <c r="AD22" s="63" t="str">
        <f t="shared" si="7"/>
        <v/>
      </c>
      <c r="AE22" s="63" t="str">
        <f t="shared" si="8"/>
        <v/>
      </c>
      <c r="AF22" s="62">
        <f t="shared" si="9"/>
        <v>-0.3157167964</v>
      </c>
      <c r="AG22" s="62">
        <f t="shared" si="10"/>
        <v>0.04268139593</v>
      </c>
      <c r="AI22" s="62">
        <f t="array" ref="AI22">IF(INDIRECT("'"&amp;A$22&amp;"'!"&amp;"B16") ="",INDIRECT("'"&amp;A$22&amp;"'!"&amp;"C16"),INDIRECT("'"&amp;A$22&amp;"'!"&amp;"B16"))</f>
        <v>0.035</v>
      </c>
      <c r="AJ22" s="62">
        <f t="array" ref="AJ22">IFERROR(AVERAGE(INDIRECT("'"&amp;A$22&amp;"'!"&amp;"B16:F16")),"")</f>
        <v>0.0359</v>
      </c>
      <c r="AK22" s="62">
        <f t="shared" si="11"/>
        <v>0.03786046531</v>
      </c>
      <c r="AL22" s="64" t="str">
        <f t="shared" si="12"/>
        <v/>
      </c>
      <c r="AM22" s="64" t="str">
        <f t="shared" si="13"/>
        <v/>
      </c>
      <c r="AN22" s="64" t="str">
        <f t="shared" si="21"/>
        <v/>
      </c>
      <c r="AO22" s="64" t="str">
        <f t="shared" si="15"/>
        <v/>
      </c>
      <c r="AP22" s="65" t="str">
        <f t="shared" si="16"/>
        <v/>
      </c>
      <c r="AQ22" s="1"/>
      <c r="AR22" s="1"/>
      <c r="AS22" s="1"/>
      <c r="AT22" s="1"/>
      <c r="AU22" s="1"/>
      <c r="AV22" s="1"/>
    </row>
    <row r="23" ht="14.25" customHeight="1">
      <c r="A23" s="46" t="s">
        <v>79</v>
      </c>
      <c r="B23" s="66" t="s">
        <v>80</v>
      </c>
      <c r="C23" s="48" t="str">
        <f t="array" ref="C23">IF(INDIRECT("'"&amp;A$23&amp;"'!"&amp;"B10") ="",INDIRECT("'"&amp;A$23&amp;"'!"&amp;"C1"),INDIRECT("'"&amp;A$23&amp;"'!"&amp;"B1"))</f>
        <v>2023 Q1</v>
      </c>
      <c r="D23" s="49">
        <f>IFERROR(E23/SUM(E13:E35),0)</f>
        <v>0</v>
      </c>
      <c r="E23" s="50">
        <f>SUMIFS(COMPRAS!B:B,COMPRAS!A:A,B23)</f>
        <v>0</v>
      </c>
      <c r="F23" s="51">
        <f>IFERROR(AVERAGEIFS(COMPRAS!C:C,COMPRAS!A:A,B23),0)</f>
        <v>0</v>
      </c>
      <c r="G23" s="52" t="str">
        <f>IFERROR(__xludf.DUMMYFUNCTION("GOOGLEFINANCE(A23,""price"")"),"#N/A")</f>
        <v>#N/A</v>
      </c>
      <c r="H23" s="53" t="str">
        <f>IFERROR(__xludf.DUMMYFUNCTION("(GOOGLEFINANCE(A23,""high52"") + GOOGLEFINANCE(A23,""low52""))/2"),"#N/A")</f>
        <v>#N/A</v>
      </c>
      <c r="I23" s="54" t="str">
        <f>IFERROR(__xludf.DUMMYFUNCTION("GOOGLEFINANCE(A23,""changepct"")"),"#N/A")</f>
        <v>#N/A</v>
      </c>
      <c r="J23" s="67" t="str">
        <f>IFERROR(__xludf.DUMMYFUNCTION("GOOGLEFINANCE(A23,""volume"")"),"#N/A")</f>
        <v>#N/A</v>
      </c>
      <c r="K23" s="51">
        <f t="shared" si="2"/>
        <v>0</v>
      </c>
      <c r="L23" s="51">
        <f>IFERROR(SUMIFS(COMPRAS!G:G,COMPRAS!A:A,B23),0)</f>
        <v>0</v>
      </c>
      <c r="M23" s="51" t="str">
        <f t="shared" si="3"/>
        <v>#N/A</v>
      </c>
      <c r="N23" s="56">
        <f t="array" ref="N23">IF(INDIRECT("'"&amp;A$23&amp;"'!"&amp;"B12") ="",INDIRECT("'"&amp;A$23&amp;"'!"&amp;"C12"),INDIRECT("'"&amp;A$23&amp;"'!"&amp;"B12"))</f>
        <v>0.0774</v>
      </c>
      <c r="O23" s="57">
        <f t="array" ref="O23">IFERROR(AVERAGE(INDIRECT("'"&amp;A$23&amp;"'!"&amp;"B12:F12")),"")</f>
        <v>0.06743333333</v>
      </c>
      <c r="P23" s="58">
        <f t="array" ref="P23">IF(INDIRECT("'"&amp;A$23&amp;"'!"&amp;"B17") ="",INDIRECT("'"&amp;A$23&amp;"'!"&amp;"C17"),INDIRECT("'"&amp;A$23&amp;"'!"&amp;"B17"))</f>
        <v>43.67</v>
      </c>
      <c r="Q23" s="58">
        <f t="array" ref="Q23">IFERROR(AVERAGE(INDIRECT("'"&amp;A$23&amp;"'!"&amp;"B17:F17")),0)</f>
        <v>47.06666667</v>
      </c>
      <c r="R23" s="59">
        <f t="array" ref="R23">IF(INDIRECT("'"&amp;A$23&amp;"'!"&amp;"B10") ="",INDIRECT("'"&amp;A$23&amp;"'!"&amp;"C10"),INDIRECT("'"&amp;A$23&amp;"'!"&amp;"B10"))</f>
        <v>0.47</v>
      </c>
      <c r="S23" s="59">
        <f t="array" ref="S23">IFERROR(AVERAGE(INDIRECT("'"&amp;A$23&amp;"'!"&amp;"B10:F10")),0)</f>
        <v>0.472</v>
      </c>
      <c r="T23" s="58">
        <f t="shared" ref="T23:U23" si="29">R23*4</f>
        <v>1.88</v>
      </c>
      <c r="U23" s="58">
        <f t="shared" si="29"/>
        <v>1.888</v>
      </c>
      <c r="V23" s="60">
        <f t="array" ref="V23">IF(INDIRECT("'"&amp;A$23&amp;"'!"&amp;"B15") ="",INDIRECT("'"&amp;A$23&amp;"'!"&amp;"C15"),INDIRECT("'"&amp;A$23&amp;"'!"&amp;"B15"))</f>
        <v>0.3123</v>
      </c>
      <c r="W23" s="60">
        <f t="array" ref="W23">IFERROR(AVERAGE(INDIRECT("'"&amp;A$23&amp;"'!"&amp;"B15:F15")),"")</f>
        <v>0.3093333333</v>
      </c>
      <c r="X23" s="60">
        <f t="array" ref="X23">IF(INDIRECT("'"&amp;A$23&amp;"'!"&amp;"B5") ="",INDIRECT("'"&amp;A$23&amp;"'!"&amp;"C5"),INDIRECT("'"&amp;A$23&amp;"'!"&amp;"B5"))</f>
        <v>0.9297</v>
      </c>
      <c r="Y23" s="60">
        <f t="array" ref="Y23">IFERROR(AVERAGE(INDIRECT("'"&amp;A$23&amp;"'!"&amp;"B5:F5")),0)</f>
        <v>0.92722</v>
      </c>
      <c r="Z23" s="60">
        <f t="array" ref="Z23">IF(INDIRECT("'"&amp;A$23&amp;"'!"&amp;"B7") ="",INDIRECT("'"&amp;A$23&amp;"'!"&amp;"C7"),INDIRECT("'"&amp;A$23&amp;"'!"&amp;"B7"))</f>
        <v>0.5914</v>
      </c>
      <c r="AA23" s="60">
        <f t="array" ref="AA23">IFERROR(AVERAGE(INDIRECT("'"&amp;A$23&amp;"'!"&amp;"B7:F7")),0)</f>
        <v>0.60364</v>
      </c>
      <c r="AB23" s="61" t="str">
        <f t="shared" si="5"/>
        <v/>
      </c>
      <c r="AC23" s="62" t="str">
        <f t="shared" si="6"/>
        <v/>
      </c>
      <c r="AD23" s="63" t="str">
        <f t="shared" si="7"/>
        <v/>
      </c>
      <c r="AE23" s="63" t="str">
        <f t="shared" si="8"/>
        <v/>
      </c>
      <c r="AF23" s="62" t="str">
        <f t="shared" si="9"/>
        <v/>
      </c>
      <c r="AG23" s="62" t="str">
        <f t="shared" si="10"/>
        <v/>
      </c>
      <c r="AI23" s="62">
        <f t="array" ref="AI23">IF(INDIRECT("'"&amp;A$23&amp;"'!"&amp;"B16") ="",INDIRECT("'"&amp;A$23&amp;"'!"&amp;"C16"),INDIRECT("'"&amp;A$23&amp;"'!"&amp;"B16"))</f>
        <v>0.0575</v>
      </c>
      <c r="AJ23" s="62">
        <f t="array" ref="AJ23">AVERAGE(INDIRECT("'"&amp;A$23&amp;"'!"&amp;"B16:F16"))</f>
        <v>0.0587</v>
      </c>
      <c r="AK23" s="62">
        <f t="shared" si="11"/>
        <v>0.0581</v>
      </c>
      <c r="AL23" s="64" t="str">
        <f t="shared" si="12"/>
        <v/>
      </c>
      <c r="AM23" s="64" t="str">
        <f t="shared" si="13"/>
        <v/>
      </c>
      <c r="AN23" s="64" t="str">
        <f t="shared" si="21"/>
        <v/>
      </c>
      <c r="AO23" s="64" t="str">
        <f t="shared" si="15"/>
        <v/>
      </c>
      <c r="AP23" s="65" t="str">
        <f t="shared" si="16"/>
        <v/>
      </c>
      <c r="AQ23" s="1"/>
      <c r="AR23" s="1"/>
      <c r="AS23" s="1"/>
      <c r="AT23" s="1"/>
      <c r="AU23" s="1"/>
      <c r="AV23" s="1"/>
    </row>
    <row r="24" ht="14.25" customHeight="1">
      <c r="A24" s="46" t="s">
        <v>81</v>
      </c>
      <c r="B24" s="66" t="s">
        <v>82</v>
      </c>
      <c r="C24" s="48" t="str">
        <f t="array" ref="C24">IF(INDIRECT("'"&amp;A$24&amp;"'!"&amp;"B10") ="",INDIRECT("'"&amp;A$24&amp;"'!"&amp;"C1"),INDIRECT("'"&amp;A$24&amp;"'!"&amp;"B1"))</f>
        <v>2023 Q1</v>
      </c>
      <c r="D24" s="49">
        <f>IFERROR(E24/SUM(E13:E35),0)</f>
        <v>0</v>
      </c>
      <c r="E24" s="50">
        <f>SUMIFS(COMPRAS!B:B,COMPRAS!A:A,B24)</f>
        <v>0</v>
      </c>
      <c r="F24" s="51">
        <f>IFERROR(AVERAGEIFS(COMPRAS!C:C,COMPRAS!A:A,B24),0)</f>
        <v>0</v>
      </c>
      <c r="G24" s="52">
        <f>IFERROR(__xludf.DUMMYFUNCTION("GOOGLEFINANCE(A24,""price"")"),7.8)</f>
        <v>7.8</v>
      </c>
      <c r="H24" s="53">
        <f>IFERROR(__xludf.DUMMYFUNCTION("(GOOGLEFINANCE(A24,""high52"") + GOOGLEFINANCE(A24,""low52""))/2"),8.684999999999999)</f>
        <v>8.685</v>
      </c>
      <c r="I24" s="54">
        <f>IFERROR(__xludf.DUMMYFUNCTION("GOOGLEFINANCE(A24,""changepct"")"),1.96)</f>
        <v>1.96</v>
      </c>
      <c r="J24" s="67">
        <f>IFERROR(__xludf.DUMMYFUNCTION("GOOGLEFINANCE(A24,""volume"")"),41200.0)</f>
        <v>41200</v>
      </c>
      <c r="K24" s="51">
        <f t="shared" si="2"/>
        <v>0</v>
      </c>
      <c r="L24" s="51">
        <f>IFERROR(SUMIFS(COMPRAS!G:G,COMPRAS!A:A,B24),0)</f>
        <v>0</v>
      </c>
      <c r="M24" s="51">
        <f t="shared" si="3"/>
        <v>0</v>
      </c>
      <c r="N24" s="56">
        <f t="array" ref="N24">IF(INDIRECT("'"&amp;A$24&amp;"'!"&amp;"B12") ="",INDIRECT("'"&amp;A$24&amp;"'!"&amp;"C12"),INDIRECT("'"&amp;A$24&amp;"'!"&amp;"B12"))</f>
        <v>0.1174</v>
      </c>
      <c r="O24" s="57">
        <f t="array" ref="O24">IFERROR(AVERAGE(INDIRECT("'"&amp;A$24&amp;"'!"&amp;"B12:F12")),"")</f>
        <v>0.11125</v>
      </c>
      <c r="P24" s="58">
        <f t="array" ref="P24">IF(INDIRECT("'"&amp;A$24&amp;"'!"&amp;"B17") ="",INDIRECT("'"&amp;A$24&amp;"'!"&amp;"C17"),INDIRECT("'"&amp;A$24&amp;"'!"&amp;"B17"))</f>
        <v>14.79</v>
      </c>
      <c r="Q24" s="58">
        <f t="array" ref="Q24">IFERROR(AVERAGE(INDIRECT("'"&amp;A$24&amp;"'!"&amp;"B17:F17")),0)</f>
        <v>14.825</v>
      </c>
      <c r="R24" s="59">
        <f t="array" ref="R24">IF(INDIRECT("'"&amp;A$24&amp;"'!"&amp;"B10") ="",INDIRECT("'"&amp;A$24&amp;"'!"&amp;"C10"),INDIRECT("'"&amp;A$24&amp;"'!"&amp;"B10"))</f>
        <v>0.125</v>
      </c>
      <c r="S24" s="59">
        <f t="array" ref="S24">IFERROR(AVERAGE(INDIRECT("'"&amp;A$24&amp;"'!"&amp;"B10:F10")),0)</f>
        <v>0.025</v>
      </c>
      <c r="T24" s="58">
        <f t="shared" ref="T24:U24" si="30">R24*4</f>
        <v>0.5</v>
      </c>
      <c r="U24" s="58">
        <f t="shared" si="30"/>
        <v>0.1</v>
      </c>
      <c r="V24" s="60">
        <f t="array" ref="V24">IF(INDIRECT("'"&amp;A$24&amp;"'!"&amp;"B15") ="",INDIRECT("'"&amp;A$24&amp;"'!"&amp;"C15"),INDIRECT("'"&amp;A$24&amp;"'!"&amp;"B15"))</f>
        <v>0.2574</v>
      </c>
      <c r="W24" s="60">
        <f t="array" ref="W24">IFERROR(AVERAGE(INDIRECT("'"&amp;A$24&amp;"'!"&amp;"B15:F15")),"")</f>
        <v>0.26785</v>
      </c>
      <c r="X24" s="60">
        <f t="array" ref="X24">IF(INDIRECT("'"&amp;A$24&amp;"'!"&amp;"B5") ="",INDIRECT("'"&amp;A$24&amp;"'!"&amp;"C5"),INDIRECT("'"&amp;A$24&amp;"'!"&amp;"B5"))</f>
        <v>0.3613</v>
      </c>
      <c r="Y24" s="60">
        <f t="array" ref="Y24">IFERROR(AVERAGE(INDIRECT("'"&amp;A$24&amp;"'!"&amp;"B5:F5")),0)</f>
        <v>0.31675</v>
      </c>
      <c r="Z24" s="60">
        <f t="array" ref="Z24">IF(INDIRECT("'"&amp;A$24&amp;"'!"&amp;"B7") ="",INDIRECT("'"&amp;A$24&amp;"'!"&amp;"C7"),INDIRECT("'"&amp;A$24&amp;"'!"&amp;"B7"))</f>
        <v>0.2118</v>
      </c>
      <c r="AA24" s="60">
        <f t="array" ref="AA24">IFERROR(AVERAGE(INDIRECT("'"&amp;A$24&amp;"'!"&amp;"B7:F7")),0)</f>
        <v>0.169575</v>
      </c>
      <c r="AB24" s="61" t="str">
        <f t="shared" si="5"/>
        <v/>
      </c>
      <c r="AC24" s="62">
        <f t="shared" si="6"/>
        <v>0.01282051282</v>
      </c>
      <c r="AD24" s="63" t="str">
        <f t="shared" si="7"/>
        <v/>
      </c>
      <c r="AE24" s="63" t="str">
        <f t="shared" si="8"/>
        <v/>
      </c>
      <c r="AF24" s="62">
        <f t="shared" si="9"/>
        <v>0.8961538462</v>
      </c>
      <c r="AG24" s="62">
        <f t="shared" si="10"/>
        <v>0.0641025641</v>
      </c>
      <c r="AI24" s="62">
        <f t="array" ref="AI24">IF(INDIRECT("'"&amp;A$24&amp;"'!"&amp;"B16") ="",INDIRECT("'"&amp;A$24&amp;"'!"&amp;"C16"),INDIRECT("'"&amp;A$24&amp;"'!"&amp;"B16"))</f>
        <v>0.0105</v>
      </c>
      <c r="AJ24" s="62">
        <f t="array" ref="AJ24">IFERROR(AVERAGE(INDIRECT("'"&amp;A$24&amp;"'!"&amp;"B16:F16")),"")</f>
        <v>0.0035</v>
      </c>
      <c r="AK24" s="62">
        <f t="shared" si="11"/>
        <v>0.02603418803</v>
      </c>
      <c r="AL24" s="64" t="str">
        <f t="shared" si="12"/>
        <v/>
      </c>
      <c r="AM24" s="64" t="str">
        <f t="shared" si="13"/>
        <v/>
      </c>
      <c r="AN24" s="64" t="str">
        <f t="shared" si="21"/>
        <v/>
      </c>
      <c r="AO24" s="64" t="str">
        <f t="shared" si="15"/>
        <v/>
      </c>
      <c r="AP24" s="65" t="str">
        <f t="shared" si="16"/>
        <v/>
      </c>
      <c r="AQ24" s="1"/>
      <c r="AR24" s="1"/>
      <c r="AS24" s="1"/>
      <c r="AT24" s="1"/>
      <c r="AU24" s="1"/>
      <c r="AV24" s="1"/>
    </row>
    <row r="25" ht="14.25" customHeight="1">
      <c r="A25" s="46" t="s">
        <v>83</v>
      </c>
      <c r="B25" s="66" t="s">
        <v>84</v>
      </c>
      <c r="C25" s="48" t="str">
        <f t="array" ref="C25">IF(INDIRECT("'"&amp;A$25&amp;"'!"&amp;"B10") ="",INDIRECT("'"&amp;A$25&amp;"'!"&amp;"C1"),INDIRECT("'"&amp;A$25&amp;"'!"&amp;"B1"))</f>
        <v>2023 Q1</v>
      </c>
      <c r="D25" s="49">
        <f>IFERROR(E25/SUM(E13:E35),0)</f>
        <v>0</v>
      </c>
      <c r="E25" s="50">
        <f>SUMIFS(COMPRAS!B:B,COMPRAS!A:A,B25)</f>
        <v>0</v>
      </c>
      <c r="F25" s="51">
        <f>IFERROR(AVERAGEIFS(COMPRAS!C:C,COMPRAS!A:A,B25),0)</f>
        <v>0</v>
      </c>
      <c r="G25" s="52">
        <f>IFERROR(__xludf.DUMMYFUNCTION("GOOGLEFINANCE(A25,""price"")"),59.01)</f>
        <v>59.01</v>
      </c>
      <c r="H25" s="53">
        <f>IFERROR(__xludf.DUMMYFUNCTION("(GOOGLEFINANCE(A25,""high52"") + GOOGLEFINANCE(A25,""low52""))/2"),53.254999999999995)</f>
        <v>53.255</v>
      </c>
      <c r="I25" s="54">
        <f>IFERROR(__xludf.DUMMYFUNCTION("GOOGLEFINANCE(A25,""changepct"")"),0.0)</f>
        <v>0</v>
      </c>
      <c r="J25" s="67">
        <f>IFERROR(__xludf.DUMMYFUNCTION("GOOGLEFINANCE(A25,""volume"")"),0.0)</f>
        <v>0</v>
      </c>
      <c r="K25" s="51">
        <f t="shared" si="2"/>
        <v>0</v>
      </c>
      <c r="L25" s="51">
        <f>IFERROR(SUMIFS(COMPRAS!G:G,COMPRAS!A:A,B25),0)</f>
        <v>0</v>
      </c>
      <c r="M25" s="51">
        <f t="shared" si="3"/>
        <v>0</v>
      </c>
      <c r="N25" s="56">
        <f t="array" ref="N25">IF(INDIRECT("'"&amp;A$25&amp;"'!"&amp;"B12") ="",INDIRECT("'"&amp;A$25&amp;"'!"&amp;"C12"),INDIRECT("'"&amp;A$25&amp;"'!"&amp;"B12"))</f>
        <v>0.1141</v>
      </c>
      <c r="O25" s="57">
        <f t="array" ref="O25">IFERROR(AVERAGE(INDIRECT("'"&amp;A$25&amp;"'!"&amp;"B12:F12")),"")</f>
        <v>0.117</v>
      </c>
      <c r="P25" s="58">
        <f t="array" ref="P25">IF(INDIRECT("'"&amp;A$25&amp;"'!"&amp;"B17") ="",INDIRECT("'"&amp;A$25&amp;"'!"&amp;"C17"),INDIRECT("'"&amp;A$25&amp;"'!"&amp;"B17"))</f>
        <v>25.3</v>
      </c>
      <c r="Q25" s="58">
        <f t="array" ref="Q25">IFERROR(AVERAGE(INDIRECT("'"&amp;A$25&amp;"'!"&amp;"B17:F17")),0)</f>
        <v>24.75</v>
      </c>
      <c r="R25" s="59">
        <f t="array" ref="R25">IF(INDIRECT("'"&amp;A$25&amp;"'!"&amp;"B10") ="",INDIRECT("'"&amp;A$25&amp;"'!"&amp;"C10"),INDIRECT("'"&amp;A$25&amp;"'!"&amp;"B10"))</f>
        <v>0.5702</v>
      </c>
      <c r="S25" s="59">
        <f t="array" ref="S25">IFERROR(AVERAGE(INDIRECT("'"&amp;A$25&amp;"'!"&amp;"B10:F10")),0)</f>
        <v>0.5706034</v>
      </c>
      <c r="T25" s="58">
        <f t="shared" ref="T25:U25" si="31">R25*4</f>
        <v>2.2808</v>
      </c>
      <c r="U25" s="58">
        <f t="shared" si="31"/>
        <v>2.2824136</v>
      </c>
      <c r="V25" s="60">
        <f t="array" ref="V25">IF(INDIRECT("'"&amp;A$25&amp;"'!"&amp;"B15") ="",INDIRECT("'"&amp;A$25&amp;"'!"&amp;"C15"),INDIRECT("'"&amp;A$25&amp;"'!"&amp;"B15"))</f>
        <v>0.1529</v>
      </c>
      <c r="W25" s="60">
        <f t="array" ref="W25">IFERROR(AVERAGE(INDIRECT("'"&amp;A$25&amp;"'!"&amp;"B15:F15")),"")</f>
        <v>0.1556</v>
      </c>
      <c r="X25" s="60">
        <f t="array" ref="X25">IF(INDIRECT("'"&amp;A$25&amp;"'!"&amp;"B5") ="",INDIRECT("'"&amp;A$25&amp;"'!"&amp;"C5"),INDIRECT("'"&amp;A$25&amp;"'!"&amp;"B5"))</f>
        <v>0.8683</v>
      </c>
      <c r="Y25" s="60">
        <f t="array" ref="Y25">IFERROR(AVERAGE(INDIRECT("'"&amp;A$25&amp;"'!"&amp;"B5:F5")),0)</f>
        <v>0.869125</v>
      </c>
      <c r="Z25" s="60">
        <f t="array" ref="Z25">IF(INDIRECT("'"&amp;A$25&amp;"'!"&amp;"B7") ="",INDIRECT("'"&amp;A$25&amp;"'!"&amp;"C7"),INDIRECT("'"&amp;A$25&amp;"'!"&amp;"B7"))</f>
        <v>0.7189</v>
      </c>
      <c r="AA25" s="60">
        <f t="array" ref="AA25">IFERROR(AVERAGE(INDIRECT("'"&amp;A$25&amp;"'!"&amp;"B7:F7")),0)</f>
        <v>0.789875</v>
      </c>
      <c r="AB25" s="61" t="str">
        <f t="shared" si="5"/>
        <v/>
      </c>
      <c r="AC25" s="62">
        <f t="shared" si="6"/>
        <v>0.03867842061</v>
      </c>
      <c r="AD25" s="63" t="str">
        <f t="shared" si="7"/>
        <v/>
      </c>
      <c r="AE25" s="63" t="str">
        <f t="shared" si="8"/>
        <v/>
      </c>
      <c r="AF25" s="62">
        <f t="shared" si="9"/>
        <v>-0.5712591086</v>
      </c>
      <c r="AG25" s="62">
        <f t="shared" si="10"/>
        <v>0.03865107609</v>
      </c>
      <c r="AI25" s="62">
        <f t="array" ref="AI25">IF(INDIRECT("'"&amp;A$25&amp;"'!"&amp;"B16") ="",INDIRECT("'"&amp;A$25&amp;"'!"&amp;"C16"),INDIRECT("'"&amp;A$25&amp;"'!"&amp;"B16"))</f>
        <v>0.0456</v>
      </c>
      <c r="AJ25" s="62">
        <f t="array" ref="AJ25">AVERAGE(INDIRECT("'"&amp;A$25&amp;"'!"&amp;"B16:F16"))</f>
        <v>0.04535</v>
      </c>
      <c r="AK25" s="62">
        <f t="shared" si="11"/>
        <v>0.0432003587</v>
      </c>
      <c r="AL25" s="64" t="str">
        <f t="shared" si="12"/>
        <v/>
      </c>
      <c r="AM25" s="64" t="str">
        <f t="shared" si="13"/>
        <v/>
      </c>
      <c r="AN25" s="64" t="str">
        <f t="shared" si="21"/>
        <v/>
      </c>
      <c r="AO25" s="64" t="str">
        <f t="shared" si="15"/>
        <v/>
      </c>
      <c r="AP25" s="65" t="str">
        <f t="shared" si="16"/>
        <v/>
      </c>
      <c r="AQ25" s="1"/>
      <c r="AR25" s="1"/>
      <c r="AS25" s="1"/>
      <c r="AT25" s="1"/>
      <c r="AU25" s="1"/>
      <c r="AV25" s="1"/>
    </row>
    <row r="26" ht="14.25" customHeight="1">
      <c r="A26" s="46" t="s">
        <v>85</v>
      </c>
      <c r="B26" s="66" t="s">
        <v>86</v>
      </c>
      <c r="C26" s="48" t="str">
        <f t="array" ref="C26">IF(INDIRECT("'"&amp;A$26&amp;"'!"&amp;"B10") ="",INDIRECT("'"&amp;A$26&amp;"'!"&amp;"C1"),INDIRECT("'"&amp;A$26&amp;"'!"&amp;"B1"))</f>
        <v>2023 Q1</v>
      </c>
      <c r="D26" s="49">
        <f>IFERROR(E26/SUM(E13:E35),0)</f>
        <v>0</v>
      </c>
      <c r="E26" s="50">
        <f>SUMIFS(COMPRAS!B:B,COMPRAS!A:A,B26)</f>
        <v>0</v>
      </c>
      <c r="F26" s="51">
        <f>IFERROR(AVERAGEIFS(COMPRAS!C:C,COMPRAS!A:A,B26),0)</f>
        <v>0</v>
      </c>
      <c r="G26" s="52">
        <f>IFERROR(__xludf.DUMMYFUNCTION("GOOGLEFINANCE(A26,""price"")"),50.0)</f>
        <v>50</v>
      </c>
      <c r="H26" s="53">
        <f>IFERROR(__xludf.DUMMYFUNCTION("IFERROR(G26,(GOOGLEFINANCE(A26,""high52"") + GOOGLEFINANCE(A26,""low52""))/2)"),50.0)</f>
        <v>50</v>
      </c>
      <c r="I26" s="54">
        <f>IFERROR(__xludf.DUMMYFUNCTION("IF(GOOGLEFINANCE(A26,""changepct"") &lt;=-100,0,GOOGLEFINANCE(A26,""changepct"") )"),0.0)</f>
        <v>0</v>
      </c>
      <c r="J26" s="67">
        <f>IFERROR(__xludf.DUMMYFUNCTION("GOOGLEFINANCE(A26,""volume"")"),0.0)</f>
        <v>0</v>
      </c>
      <c r="K26" s="51">
        <f t="shared" si="2"/>
        <v>0</v>
      </c>
      <c r="L26" s="51">
        <f>IFERROR(SUMIFS(COMPRAS!G:G,COMPRAS!A:A,B26),0)</f>
        <v>0</v>
      </c>
      <c r="M26" s="51">
        <f t="shared" si="3"/>
        <v>0</v>
      </c>
      <c r="N26" s="56">
        <f t="array" ref="N26">IF(INDIRECT("'"&amp;A$26&amp;"'!"&amp;"B12") ="",INDIRECT("'"&amp;A$26&amp;"'!"&amp;"C12"),INDIRECT("'"&amp;A$26&amp;"'!"&amp;"B12"))</f>
        <v>0.0365</v>
      </c>
      <c r="O26" s="57">
        <f t="array" ref="O26">IFERROR(AVERAGE(INDIRECT("'"&amp;A$26&amp;"'!"&amp;"B12:F12")),"")</f>
        <v>0.0367</v>
      </c>
      <c r="P26" s="58">
        <f t="array" ref="P26">IF(INDIRECT("'"&amp;A$26&amp;"'!"&amp;"B17") ="",INDIRECT("'"&amp;A$26&amp;"'!"&amp;"C17"),INDIRECT("'"&amp;A$26&amp;"'!"&amp;"B17"))</f>
        <v>49.5</v>
      </c>
      <c r="Q26" s="58">
        <f t="array" ref="Q26">IFERROR(AVERAGE(INDIRECT("'"&amp;A$26&amp;"'!"&amp;"B17:F17")),0)</f>
        <v>50.845</v>
      </c>
      <c r="R26" s="59">
        <f t="array" ref="R26">IF(INDIRECT("'"&amp;A$26&amp;"'!"&amp;"B10") ="",INDIRECT("'"&amp;A$26&amp;"'!"&amp;"C10"),INDIRECT("'"&amp;A$26&amp;"'!"&amp;"B10"))</f>
        <v>0</v>
      </c>
      <c r="S26" s="59">
        <f t="array" ref="S26">IFERROR(AVERAGE(INDIRECT("'"&amp;A$26&amp;"'!"&amp;"B10:F10")),0)</f>
        <v>0.166</v>
      </c>
      <c r="T26" s="58">
        <f t="shared" ref="T26:U26" si="32">R26*4</f>
        <v>0</v>
      </c>
      <c r="U26" s="58">
        <f t="shared" si="32"/>
        <v>0.664</v>
      </c>
      <c r="V26" s="60">
        <f t="array" ref="V26">IF(INDIRECT("'"&amp;A$26&amp;"'!"&amp;"B15") ="",INDIRECT("'"&amp;A$26&amp;"'!"&amp;"C15"),INDIRECT("'"&amp;A$26&amp;"'!"&amp;"B15"))</f>
        <v>0.2519</v>
      </c>
      <c r="W26" s="60">
        <f t="array" ref="W26">IFERROR(AVERAGE(INDIRECT("'"&amp;A$26&amp;"'!"&amp;"B15:F15")),"")</f>
        <v>0.24505</v>
      </c>
      <c r="X26" s="60">
        <f t="array" ref="X26">IF(INDIRECT("'"&amp;A$26&amp;"'!"&amp;"B5") ="",INDIRECT("'"&amp;A$26&amp;"'!"&amp;"C5"),INDIRECT("'"&amp;A$26&amp;"'!"&amp;"B5"))</f>
        <v>0.7701</v>
      </c>
      <c r="Y26" s="60">
        <f t="array" ref="Y26">IFERROR(AVERAGE(INDIRECT("'"&amp;A$26&amp;"'!"&amp;"B5:F5")),0)</f>
        <v>0.71144</v>
      </c>
      <c r="Z26" s="60">
        <f t="array" ref="Z26">IF(INDIRECT("'"&amp;A$26&amp;"'!"&amp;"B7") ="",INDIRECT("'"&amp;A$26&amp;"'!"&amp;"C7"),INDIRECT("'"&amp;A$26&amp;"'!"&amp;"B7"))</f>
        <v>0.407</v>
      </c>
      <c r="AA26" s="60">
        <f t="array" ref="AA26">IFERROR(AVERAGE(INDIRECT("'"&amp;A$26&amp;"'!"&amp;"B7:F7")),0)</f>
        <v>0.30386</v>
      </c>
      <c r="AB26" s="61" t="str">
        <f t="shared" si="5"/>
        <v/>
      </c>
      <c r="AC26" s="62">
        <f t="shared" si="6"/>
        <v>0.01328</v>
      </c>
      <c r="AD26" s="63" t="str">
        <f t="shared" si="7"/>
        <v/>
      </c>
      <c r="AE26" s="63" t="str">
        <f t="shared" si="8"/>
        <v/>
      </c>
      <c r="AF26" s="62">
        <f t="shared" si="9"/>
        <v>-0.01</v>
      </c>
      <c r="AG26" s="62">
        <f t="shared" si="10"/>
        <v>0</v>
      </c>
      <c r="AI26" s="62">
        <f t="array" ref="AI26">IF(INDIRECT("'"&amp;A$26&amp;"'!"&amp;"B16") ="",INDIRECT("'"&amp;A$26&amp;"'!"&amp;"C16"),INDIRECT("'"&amp;A$26&amp;"'!"&amp;"B16"))</f>
        <v>0</v>
      </c>
      <c r="AJ26" s="62">
        <f t="array" ref="AJ26">IFERROR(AVERAGE(INDIRECT("'"&amp;A$26&amp;"'!"&amp;"B16:F16")),"")</f>
        <v>0</v>
      </c>
      <c r="AK26" s="62">
        <f t="shared" si="11"/>
        <v>0</v>
      </c>
      <c r="AL26" s="64" t="str">
        <f t="shared" si="12"/>
        <v/>
      </c>
      <c r="AM26" s="64" t="str">
        <f t="shared" si="13"/>
        <v/>
      </c>
      <c r="AN26" s="64" t="str">
        <f t="shared" si="21"/>
        <v/>
      </c>
      <c r="AO26" s="64" t="str">
        <f t="shared" si="15"/>
        <v/>
      </c>
      <c r="AP26" s="65" t="str">
        <f t="shared" si="16"/>
        <v/>
      </c>
      <c r="AQ26" s="1"/>
      <c r="AR26" s="1"/>
      <c r="AS26" s="1"/>
      <c r="AT26" s="1"/>
      <c r="AU26" s="1"/>
      <c r="AV26" s="1"/>
    </row>
    <row r="27" ht="14.25" customHeight="1">
      <c r="A27" s="46" t="s">
        <v>87</v>
      </c>
      <c r="B27" s="66" t="s">
        <v>88</v>
      </c>
      <c r="C27" s="48" t="str">
        <f t="array" ref="C27">IF(INDIRECT("'"&amp;A$27&amp;"'!"&amp;"B10") ="",INDIRECT("'"&amp;A$27&amp;"'!"&amp;"C1"),INDIRECT("'"&amp;A$27&amp;"'!"&amp;"B1"))</f>
        <v>2022 Q4</v>
      </c>
      <c r="D27" s="49">
        <f>IFERROR(E27/SUM(E13:E35),0)</f>
        <v>0</v>
      </c>
      <c r="E27" s="50">
        <f>SUMIFS(COMPRAS!B:B,COMPRAS!A:A,B27)</f>
        <v>0</v>
      </c>
      <c r="F27" s="51">
        <f>IFERROR(AVERAGEIFS(COMPRAS!C:C,COMPRAS!A:A,B27),0)</f>
        <v>0</v>
      </c>
      <c r="G27" s="52">
        <f>IFERROR(__xludf.DUMMYFUNCTION("GOOGLEFINANCE(A27,""price"")"),24.99)</f>
        <v>24.99</v>
      </c>
      <c r="H27" s="53">
        <f>IFERROR(__xludf.DUMMYFUNCTION("IFERROR(G27,(GOOGLEFINANCE(A27,""high52"") + GOOGLEFINANCE(A27,""low52""))/2)"),24.99)</f>
        <v>24.99</v>
      </c>
      <c r="I27" s="54">
        <f>IFERROR(__xludf.DUMMYFUNCTION("GOOGLEFINANCE(A27,""changepct"")"),-0.08)</f>
        <v>-0.08</v>
      </c>
      <c r="J27" s="67">
        <f>IFERROR(__xludf.DUMMYFUNCTION("GOOGLEFINANCE(A27,""volume"")"),1293.0)</f>
        <v>1293</v>
      </c>
      <c r="K27" s="51">
        <f t="shared" si="2"/>
        <v>0</v>
      </c>
      <c r="L27" s="51">
        <f>IFERROR(SUMIFS(COMPRAS!G:G,COMPRAS!A:A,B27),0)</f>
        <v>0</v>
      </c>
      <c r="M27" s="51">
        <f t="shared" si="3"/>
        <v>0</v>
      </c>
      <c r="N27" s="56">
        <f t="array" ref="N27">IF(INDIRECT("'"&amp;A$27&amp;"'!"&amp;"B12") ="",INDIRECT("'"&amp;A$27&amp;"'!"&amp;"C12"),INDIRECT("'"&amp;A$27&amp;"'!"&amp;"B12"))</f>
        <v>0.0695</v>
      </c>
      <c r="O27" s="57">
        <f t="array" ref="O27">IFERROR(AVERAGE(INDIRECT("'"&amp;A$27&amp;"'!"&amp;"B12:F12")),"")</f>
        <v>0.071</v>
      </c>
      <c r="P27" s="58">
        <f t="array" ref="P27">IF(INDIRECT("'"&amp;A$27&amp;"'!"&amp;"B17") ="",INDIRECT("'"&amp;A$27&amp;"'!"&amp;"C17"),INDIRECT("'"&amp;A$27&amp;"'!"&amp;"B17"))</f>
        <v>21.09</v>
      </c>
      <c r="Q27" s="58">
        <f t="array" ref="Q27">IFERROR(AVERAGE(INDIRECT("'"&amp;A$27&amp;"'!"&amp;"B17:F17")),0)</f>
        <v>20.61</v>
      </c>
      <c r="R27" s="59">
        <f t="array" ref="R27">IF(INDIRECT("'"&amp;A$27&amp;"'!"&amp;"B10") ="",INDIRECT("'"&amp;A$27&amp;"'!"&amp;"C10"),INDIRECT("'"&amp;A$27&amp;"'!"&amp;"B10"))</f>
        <v>0</v>
      </c>
      <c r="S27" s="59">
        <f t="array" ref="S27">IFERROR(AVERAGE(INDIRECT("'"&amp;A$27&amp;"'!"&amp;"B10:F10")),0)</f>
        <v>0.0875</v>
      </c>
      <c r="T27" s="58">
        <f t="shared" ref="T27:U27" si="33">R27*4</f>
        <v>0</v>
      </c>
      <c r="U27" s="58">
        <f t="shared" si="33"/>
        <v>0.35</v>
      </c>
      <c r="V27" s="60">
        <f t="array" ref="V27">IF(INDIRECT("'"&amp;A$27&amp;"'!"&amp;"B15") ="",INDIRECT("'"&amp;A$27&amp;"'!"&amp;"C15"),INDIRECT("'"&amp;A$27&amp;"'!"&amp;"B15"))</f>
        <v>0.2267</v>
      </c>
      <c r="W27" s="60">
        <f t="array" ref="W27">IFERROR(AVERAGE(INDIRECT("'"&amp;A$27&amp;"'!"&amp;"B15:F15")),"")</f>
        <v>0.2319</v>
      </c>
      <c r="X27" s="60">
        <f t="array" ref="X27">IF(INDIRECT("'"&amp;A$27&amp;"'!"&amp;"B5") ="",INDIRECT("'"&amp;A$27&amp;"'!"&amp;"C5"),INDIRECT("'"&amp;A$27&amp;"'!"&amp;"B5"))</f>
        <v>0.7703</v>
      </c>
      <c r="Y27" s="60">
        <f t="array" ref="Y27">IFERROR(AVERAGE(INDIRECT("'"&amp;A$27&amp;"'!"&amp;"B5:F5")),0)</f>
        <v>0.76485</v>
      </c>
      <c r="Z27" s="60">
        <f t="array" ref="Z27">IF(INDIRECT("'"&amp;A$27&amp;"'!"&amp;"B7") ="",INDIRECT("'"&amp;A$27&amp;"'!"&amp;"C7"),INDIRECT("'"&amp;A$27&amp;"'!"&amp;"B7"))</f>
        <v>0.4378</v>
      </c>
      <c r="AA27" s="60">
        <f t="array" ref="AA27">IFERROR(AVERAGE(INDIRECT("'"&amp;A$27&amp;"'!"&amp;"B7:F7")),0)</f>
        <v>0.334975</v>
      </c>
      <c r="AB27" s="61" t="str">
        <f t="shared" si="5"/>
        <v/>
      </c>
      <c r="AC27" s="62">
        <f t="shared" si="6"/>
        <v>0.01400560224</v>
      </c>
      <c r="AD27" s="63" t="str">
        <f t="shared" si="7"/>
        <v/>
      </c>
      <c r="AE27" s="63" t="str">
        <f t="shared" si="8"/>
        <v/>
      </c>
      <c r="AF27" s="62">
        <f t="shared" si="9"/>
        <v>-0.156062425</v>
      </c>
      <c r="AG27" s="62">
        <f t="shared" si="10"/>
        <v>0</v>
      </c>
      <c r="AI27" s="62">
        <f t="array" ref="AI27">IF(INDIRECT("'"&amp;A$27&amp;"'!"&amp;"B16") ="",INDIRECT("'"&amp;A$27&amp;"'!"&amp;"C16"),INDIRECT("'"&amp;A$27&amp;"'!"&amp;"B16"))</f>
        <v>0</v>
      </c>
      <c r="AJ27" s="62">
        <f t="array" ref="AJ27">IFERROR(AVERAGE(INDIRECT("'"&amp;A$27&amp;"'!"&amp;"B16:F16")),"")</f>
        <v>0</v>
      </c>
      <c r="AK27" s="62">
        <f t="shared" si="11"/>
        <v>0</v>
      </c>
      <c r="AL27" s="64" t="str">
        <f t="shared" si="12"/>
        <v/>
      </c>
      <c r="AM27" s="64" t="str">
        <f t="shared" si="13"/>
        <v/>
      </c>
      <c r="AN27" s="64" t="str">
        <f t="shared" si="21"/>
        <v/>
      </c>
      <c r="AO27" s="64" t="str">
        <f t="shared" si="15"/>
        <v/>
      </c>
      <c r="AP27" s="65" t="str">
        <f t="shared" si="16"/>
        <v/>
      </c>
      <c r="AQ27" s="1"/>
      <c r="AR27" s="1"/>
      <c r="AS27" s="1"/>
      <c r="AT27" s="1"/>
      <c r="AU27" s="1"/>
      <c r="AV27" s="1"/>
    </row>
    <row r="28" ht="14.25" customHeight="1">
      <c r="A28" s="46" t="s">
        <v>89</v>
      </c>
      <c r="B28" s="69" t="s">
        <v>90</v>
      </c>
      <c r="C28" s="48" t="str">
        <f t="array" ref="C28">IF(INDIRECT("'"&amp;A$28&amp;"'!"&amp;"B10") ="",INDIRECT("'"&amp;A$28&amp;"'!"&amp;"C1"),INDIRECT("'"&amp;A$28&amp;"'!"&amp;"B1"))</f>
        <v>2023 Q1</v>
      </c>
      <c r="D28" s="49">
        <f>IFERROR(E28/SUM(E13:E35),0)</f>
        <v>0</v>
      </c>
      <c r="E28" s="50">
        <f>SUMIFS(COMPRAS!B:B,COMPRAS!A:A,B28)</f>
        <v>0</v>
      </c>
      <c r="F28" s="51">
        <f>IFERROR(AVERAGEIFS(COMPRAS!C:C,COMPRAS!A:A,B28),0)</f>
        <v>0</v>
      </c>
      <c r="G28" s="52">
        <f>IFERROR(__xludf.DUMMYFUNCTION("GOOGLEFINANCE(A28,""price"")"),26.0)</f>
        <v>26</v>
      </c>
      <c r="H28" s="53">
        <f>IFERROR(__xludf.DUMMYFUNCTION("IFERROR(G28,(GOOGLEFINANCE(A28,""high52"") + GOOGLEFINANCE(A28,""low52""))/2)"),26.0)</f>
        <v>26</v>
      </c>
      <c r="I28" s="54">
        <f>IFERROR(__xludf.DUMMYFUNCTION("GOOGLEFINANCE(A28,""changepct"")"),0.0)</f>
        <v>0</v>
      </c>
      <c r="J28" s="67">
        <f>IFERROR(__xludf.DUMMYFUNCTION("GOOGLEFINANCE(A28,""volume"")"),0.0)</f>
        <v>0</v>
      </c>
      <c r="K28" s="51">
        <f t="shared" si="2"/>
        <v>0</v>
      </c>
      <c r="L28" s="51">
        <f>IFERROR(SUMIFS(COMPRAS!G:G,COMPRAS!A:A,B28),0)</f>
        <v>0</v>
      </c>
      <c r="M28" s="51">
        <f t="shared" si="3"/>
        <v>0</v>
      </c>
      <c r="N28" s="56" t="str">
        <f t="array" ref="N28">IF(INDIRECT("'"&amp;A$28&amp;"'!"&amp;"B12") ="",INDIRECT("'"&amp;A$28&amp;"'!"&amp;"C12"),INDIRECT("'"&amp;A$28&amp;"'!"&amp;"B12"))</f>
        <v/>
      </c>
      <c r="O28" s="57">
        <f t="array" ref="O28">IFERROR(AVERAGE(INDIRECT("'"&amp;A$28&amp;"'!"&amp;"B12:F12")),"")</f>
        <v>0.1113</v>
      </c>
      <c r="P28" s="58" t="str">
        <f t="array" ref="P28">IF(INDIRECT("'"&amp;A$28&amp;"'!"&amp;"B17") ="",INDIRECT("'"&amp;A$28&amp;"'!"&amp;"C17"),INDIRECT("'"&amp;A$28&amp;"'!"&amp;"B17"))</f>
        <v/>
      </c>
      <c r="Q28" s="58">
        <f t="array" ref="Q28">IFERROR(AVERAGE(INDIRECT("'"&amp;A$28&amp;"'!"&amp;"B17:F17")),"")</f>
        <v>17.68</v>
      </c>
      <c r="R28" s="59">
        <f t="array" ref="R28">IF(INDIRECT("'"&amp;A$28&amp;"'!"&amp;"B10") ="",INDIRECT("'"&amp;A$28&amp;"'!"&amp;"C10"),INDIRECT("'"&amp;A$28&amp;"'!"&amp;"B10"))</f>
        <v>0.147633</v>
      </c>
      <c r="S28" s="59">
        <f t="array" ref="S28">IFERROR(AVERAGE(INDIRECT("'"&amp;A$28&amp;"'!"&amp;"B10:F10")),0)</f>
        <v>0.181872</v>
      </c>
      <c r="T28" s="58">
        <f t="shared" ref="T28:U28" si="34">R28*4</f>
        <v>0.590532</v>
      </c>
      <c r="U28" s="58">
        <f t="shared" si="34"/>
        <v>0.727488</v>
      </c>
      <c r="V28" s="60" t="str">
        <f t="array" ref="V28">IF(INDIRECT("'"&amp;A$28&amp;"'!"&amp;"B15") ="",INDIRECT("'"&amp;A$28&amp;"'!"&amp;"C15"),INDIRECT("'"&amp;A$28&amp;"'!"&amp;"B15"))</f>
        <v/>
      </c>
      <c r="W28" s="60" t="str">
        <f t="array" ref="W28">IFERROR(AVERAGE(INDIRECT("'"&amp;A$28&amp;"'!"&amp;"B15:F15")),"")</f>
        <v/>
      </c>
      <c r="X28" s="60" t="str">
        <f t="array" ref="X28">IF(INDIRECT("'"&amp;A$28&amp;"'!"&amp;"B5") ="",INDIRECT("'"&amp;A$28&amp;"'!"&amp;"C5"),INDIRECT("'"&amp;A$28&amp;"'!"&amp;"B5"))</f>
        <v/>
      </c>
      <c r="Y28" s="60" t="str">
        <f t="array" ref="Y28">IFERROR(AVERAGE(INDIRECT("'"&amp;A$28&amp;"'!"&amp;"B5:F5")),"")</f>
        <v/>
      </c>
      <c r="Z28" s="60" t="str">
        <f t="array" ref="Z28">IF(INDIRECT("'"&amp;A$28&amp;"'!"&amp;"B7") ="",INDIRECT("'"&amp;A$28&amp;"'!"&amp;"C7"),INDIRECT("'"&amp;A$28&amp;"'!"&amp;"B7"))</f>
        <v/>
      </c>
      <c r="AA28" s="60" t="str">
        <f t="array" ref="AA28">IFERROR(AVERAGE(INDIRECT("'"&amp;A$28&amp;"'!"&amp;"B7:F7")),"")</f>
        <v/>
      </c>
      <c r="AB28" s="61" t="str">
        <f t="shared" si="5"/>
        <v/>
      </c>
      <c r="AC28" s="62">
        <f t="shared" si="6"/>
        <v>0.02798030769</v>
      </c>
      <c r="AD28" s="63" t="str">
        <f t="shared" si="7"/>
        <v/>
      </c>
      <c r="AE28" s="63" t="str">
        <f t="shared" si="8"/>
        <v/>
      </c>
      <c r="AF28" s="62" t="str">
        <f t="shared" si="9"/>
        <v/>
      </c>
      <c r="AG28" s="62">
        <f t="shared" si="10"/>
        <v>0.02271276923</v>
      </c>
      <c r="AI28" s="62">
        <f t="array" ref="AI28">IF(INDIRECT("'"&amp;A$28&amp;"'!"&amp;"B16") ="",INDIRECT("'"&amp;A$28&amp;"'!"&amp;"C16"),INDIRECT("'"&amp;A$28&amp;"'!"&amp;"B16"))</f>
        <v>0.0077</v>
      </c>
      <c r="AJ28" s="62">
        <f t="array" ref="AJ28">IFERROR(AVERAGE(INDIRECT("'"&amp;A$28&amp;"'!"&amp;"B16:F16")),"")</f>
        <v>0.00385</v>
      </c>
      <c r="AK28" s="62">
        <f t="shared" si="11"/>
        <v>0.01142092308</v>
      </c>
      <c r="AL28" s="64" t="str">
        <f t="shared" si="12"/>
        <v/>
      </c>
      <c r="AM28" s="64" t="str">
        <f t="shared" si="13"/>
        <v/>
      </c>
      <c r="AN28" s="64" t="str">
        <f t="shared" si="21"/>
        <v/>
      </c>
      <c r="AO28" s="64" t="str">
        <f t="shared" si="15"/>
        <v/>
      </c>
      <c r="AP28" s="65" t="str">
        <f t="shared" si="16"/>
        <v/>
      </c>
      <c r="AQ28" s="1"/>
      <c r="AR28" s="1"/>
      <c r="AS28" s="1"/>
      <c r="AT28" s="1"/>
      <c r="AU28" s="1"/>
      <c r="AV28" s="1"/>
    </row>
    <row r="29" ht="14.25" customHeight="1">
      <c r="A29" s="46" t="s">
        <v>91</v>
      </c>
      <c r="B29" s="66" t="s">
        <v>92</v>
      </c>
      <c r="C29" s="48" t="str">
        <f t="array" ref="C29">IF(INDIRECT("'"&amp;A$29&amp;"'!"&amp;"B10") ="",INDIRECT("'"&amp;A$29&amp;"'!"&amp;"C1"),INDIRECT("'"&amp;A$29&amp;"'!"&amp;"B1"))</f>
        <v>2022 Q4</v>
      </c>
      <c r="D29" s="49">
        <f>IFERROR(E29/SUM(E13:E35),0)</f>
        <v>0</v>
      </c>
      <c r="E29" s="50">
        <f>SUMIFS(COMPRAS!B:B,COMPRAS!A:A,B29)</f>
        <v>0</v>
      </c>
      <c r="F29" s="51">
        <f>IFERROR(AVERAGEIFS(COMPRAS!C:C,COMPRAS!A:A,B29),0)</f>
        <v>0</v>
      </c>
      <c r="G29" s="52">
        <f>IFERROR(__xludf.DUMMYFUNCTION("GOOGLEFINANCE(A29,""price"")"),68.85)</f>
        <v>68.85</v>
      </c>
      <c r="H29" s="53">
        <f>IFERROR(__xludf.DUMMYFUNCTION("IFERROR(G29,(GOOGLEFINANCE(A29,""high52"") + GOOGLEFINANCE(A29,""low52""))/2)"),68.85)</f>
        <v>68.85</v>
      </c>
      <c r="I29" s="54">
        <f>IFERROR(__xludf.DUMMYFUNCTION("GOOGLEFINANCE(A29,""changepct"")"),0.0)</f>
        <v>0</v>
      </c>
      <c r="J29" s="67">
        <f>IFERROR(__xludf.DUMMYFUNCTION("GOOGLEFINANCE(A29,""volume"")"),0.0)</f>
        <v>0</v>
      </c>
      <c r="K29" s="51">
        <f t="shared" si="2"/>
        <v>0</v>
      </c>
      <c r="L29" s="51">
        <f>IFERROR(SUMIFS(COMPRAS!G:G,COMPRAS!A:A,B29),0)</f>
        <v>0</v>
      </c>
      <c r="M29" s="51">
        <f t="shared" si="3"/>
        <v>0</v>
      </c>
      <c r="N29" s="56" t="str">
        <f t="array" ref="N29">IF(INDIRECT("'"&amp;A$29&amp;"'!"&amp;"B12") ="",INDIRECT("'"&amp;A$29&amp;"'!"&amp;"C12"),INDIRECT("'"&amp;A$29&amp;"'!"&amp;"B12"))</f>
        <v/>
      </c>
      <c r="O29" s="57" t="str">
        <f t="array" ref="O29">IFERROR(AVERAGE(INDIRECT("'"&amp;A$29&amp;"'!"&amp;"B12:F12")),"")</f>
        <v/>
      </c>
      <c r="P29" s="58" t="str">
        <f t="array" ref="P29">IF(INDIRECT("'"&amp;A$29&amp;"'!"&amp;"B17") ="",INDIRECT("'"&amp;A$29&amp;"'!"&amp;"C17"),INDIRECT("'"&amp;A$29&amp;"'!"&amp;"B17"))</f>
        <v/>
      </c>
      <c r="Q29" s="58" t="str">
        <f t="array" ref="Q29">IFERROR(AVERAGE(INDIRECT("'"&amp;A$29&amp;"'!"&amp;"B17:F17")),"")</f>
        <v/>
      </c>
      <c r="R29" s="59">
        <f t="array" ref="R29">IF(INDIRECT("'"&amp;A$29&amp;"'!"&amp;"B10") ="",INDIRECT("'"&amp;A$29&amp;"'!"&amp;"C10"),INDIRECT("'"&amp;A$29&amp;"'!"&amp;"B10"))</f>
        <v>1.4136</v>
      </c>
      <c r="S29" s="59">
        <f t="array" ref="S29">IFERROR(AVERAGE(INDIRECT("'"&amp;A$29&amp;"'!"&amp;"B10:F10")),"")</f>
        <v>1.3759</v>
      </c>
      <c r="T29" s="58">
        <f t="shared" ref="T29:U29" si="35">R29*4</f>
        <v>5.6544</v>
      </c>
      <c r="U29" s="58">
        <f t="shared" si="35"/>
        <v>5.5036</v>
      </c>
      <c r="V29" s="60" t="str">
        <f t="array" ref="V29">IF(INDIRECT("'"&amp;A$29&amp;"'!"&amp;"B15") ="",INDIRECT("'"&amp;A$29&amp;"'!"&amp;"C15"),INDIRECT("'"&amp;A$29&amp;"'!"&amp;"B15"))</f>
        <v/>
      </c>
      <c r="W29" s="60" t="str">
        <f t="array" ref="W29">IFERROR(AVERAGE(INDIRECT("'"&amp;A$29&amp;"'!"&amp;"B15:F15")),"")</f>
        <v/>
      </c>
      <c r="X29" s="60" t="str">
        <f t="array" ref="X29">IF(INDIRECT("'"&amp;A$29&amp;"'!"&amp;"B5") ="",INDIRECT("'"&amp;A$29&amp;"'!"&amp;"C5"),INDIRECT("'"&amp;A$29&amp;"'!"&amp;"B5"))</f>
        <v/>
      </c>
      <c r="Y29" s="60" t="str">
        <f t="array" ref="Y29">IFERROR(AVERAGE(INDIRECT("'"&amp;A$29&amp;"'!"&amp;"B5:F5")),"")</f>
        <v/>
      </c>
      <c r="Z29" s="60" t="str">
        <f t="array" ref="Z29">IF(INDIRECT("'"&amp;A$29&amp;"'!"&amp;"B7") ="",INDIRECT("'"&amp;A$29&amp;"'!"&amp;"C7"),INDIRECT("'"&amp;A$29&amp;"'!"&amp;"B7"))</f>
        <v/>
      </c>
      <c r="AA29" s="60" t="str">
        <f t="array" ref="AA29">IFERROR(AVERAGE(INDIRECT("'"&amp;A$29&amp;"'!"&amp;"B7:F7")),"")</f>
        <v/>
      </c>
      <c r="AB29" s="61" t="str">
        <f t="shared" si="5"/>
        <v/>
      </c>
      <c r="AC29" s="62">
        <f t="shared" si="6"/>
        <v>0.07993609296</v>
      </c>
      <c r="AD29" s="63" t="str">
        <f t="shared" si="7"/>
        <v/>
      </c>
      <c r="AE29" s="63" t="str">
        <f t="shared" si="8"/>
        <v/>
      </c>
      <c r="AF29" s="62" t="str">
        <f t="shared" si="9"/>
        <v/>
      </c>
      <c r="AG29" s="62">
        <f t="shared" si="10"/>
        <v>0.08212636166</v>
      </c>
      <c r="AI29" s="62" t="str">
        <f t="array" ref="AI29">IF(INDIRECT("'"&amp;A$29&amp;"'!"&amp;"B16") ="",INDIRECT("'"&amp;A$29&amp;"'!"&amp;"C16"),INDIRECT("'"&amp;A$29&amp;"'!"&amp;"B16"))</f>
        <v/>
      </c>
      <c r="AJ29" s="62" t="str">
        <f t="array" ref="AJ29">IFERROR(AVERAGE(INDIRECT("'"&amp;A$29&amp;"'!"&amp;"B16:F16")),"")</f>
        <v/>
      </c>
      <c r="AK29" s="62">
        <f t="shared" si="11"/>
        <v>0.08212636166</v>
      </c>
      <c r="AL29" s="64" t="str">
        <f t="shared" si="12"/>
        <v/>
      </c>
      <c r="AM29" s="64" t="str">
        <f t="shared" si="13"/>
        <v/>
      </c>
      <c r="AN29" s="64" t="str">
        <f t="shared" si="21"/>
        <v/>
      </c>
      <c r="AO29" s="64" t="str">
        <f t="shared" si="15"/>
        <v/>
      </c>
      <c r="AP29" s="65" t="str">
        <f t="shared" si="16"/>
        <v/>
      </c>
      <c r="AQ29" s="1"/>
      <c r="AR29" s="1"/>
      <c r="AS29" s="1"/>
      <c r="AT29" s="1"/>
      <c r="AU29" s="1"/>
      <c r="AV29" s="1"/>
    </row>
    <row r="30" ht="14.25" customHeight="1">
      <c r="A30" s="46" t="s">
        <v>93</v>
      </c>
      <c r="B30" s="70" t="s">
        <v>94</v>
      </c>
      <c r="C30" s="48" t="str">
        <f t="array" ref="C30">IF(INDIRECT("'"&amp;A$30&amp;"'!"&amp;"B10") ="",INDIRECT("'"&amp;A$30&amp;"'!"&amp;"C1"),INDIRECT("'"&amp;A$30&amp;"'!"&amp;"B1"))</f>
        <v>2022 Q4</v>
      </c>
      <c r="D30" s="49">
        <f>IFERROR(E30/SUM(E13:E35),0)</f>
        <v>0</v>
      </c>
      <c r="E30" s="50">
        <f>SUMIFS(COMPRAS!B:B,COMPRAS!A:A,B30)</f>
        <v>0</v>
      </c>
      <c r="F30" s="51">
        <f>IFERROR(AVERAGEIFS(COMPRAS!C:C,COMPRAS!A:A,B30),0)</f>
        <v>0</v>
      </c>
      <c r="G30" s="52">
        <f>IFERROR(__xludf.DUMMYFUNCTION("GOOGLEFINANCE(A30,""price"")"),19.48)</f>
        <v>19.48</v>
      </c>
      <c r="H30" s="53">
        <f>IFERROR(__xludf.DUMMYFUNCTION("IFERROR(G30,(GOOGLEFINANCE(A30,""high52"") + GOOGLEFINANCE(A30,""low52""))/2)"),19.48)</f>
        <v>19.48</v>
      </c>
      <c r="I30" s="54">
        <f>IFERROR(__xludf.DUMMYFUNCTION("GOOGLEFINANCE(A30,""changepct"")"),-0.2)</f>
        <v>-0.2</v>
      </c>
      <c r="J30" s="67">
        <f>IFERROR(__xludf.DUMMYFUNCTION("GOOGLEFINANCE(A30,""volume"")"),1062.0)</f>
        <v>1062</v>
      </c>
      <c r="K30" s="51">
        <f t="shared" si="2"/>
        <v>0</v>
      </c>
      <c r="L30" s="51">
        <f>IFERROR(SUMIFS(COMPRAS!G:G,COMPRAS!A:A,B30),0)</f>
        <v>0</v>
      </c>
      <c r="M30" s="51">
        <f t="shared" si="3"/>
        <v>0</v>
      </c>
      <c r="N30" s="56" t="str">
        <f t="array" ref="N30">IF(INDIRECT("'"&amp;A$30&amp;"'!"&amp;"B12") ="",INDIRECT("'"&amp;A$30&amp;"'!"&amp;"C12"),INDIRECT("'"&amp;A$30&amp;"'!"&amp;"B12"))</f>
        <v/>
      </c>
      <c r="O30" s="57" t="str">
        <f t="array" ref="O30">IFERROR(AVERAGE(INDIRECT("'"&amp;A$30&amp;"'!"&amp;"B12:F12")),"")</f>
        <v/>
      </c>
      <c r="P30" s="58" t="str">
        <f t="array" ref="P30">IF(INDIRECT("'"&amp;A$30&amp;"'!"&amp;"B17") ="",INDIRECT("'"&amp;A$30&amp;"'!"&amp;"C17"),INDIRECT("'"&amp;A$30&amp;"'!"&amp;"B17"))</f>
        <v/>
      </c>
      <c r="Q30" s="58" t="str">
        <f t="array" ref="Q30">IFERROR(AVERAGE(INDIRECT("'"&amp;A$30&amp;"'!"&amp;"B17:F17")),"")</f>
        <v/>
      </c>
      <c r="R30" s="59">
        <f t="array" ref="R30">IF(INDIRECT("'"&amp;A$30&amp;"'!"&amp;"B10") ="",INDIRECT("'"&amp;A$30&amp;"'!"&amp;"C10"),INDIRECT("'"&amp;A$30&amp;"'!"&amp;"B10"))</f>
        <v>0.1246</v>
      </c>
      <c r="S30" s="59">
        <f t="array" ref="S30">IFERROR(AVERAGE(INDIRECT("'"&amp;A$30&amp;"'!"&amp;"B10:F10")),"")</f>
        <v>0.17365</v>
      </c>
      <c r="T30" s="58">
        <f t="shared" ref="T30:U30" si="36">R30*4</f>
        <v>0.4984</v>
      </c>
      <c r="U30" s="58">
        <f t="shared" si="36"/>
        <v>0.6946</v>
      </c>
      <c r="V30" s="60" t="str">
        <f t="array" ref="V30">IF(INDIRECT("'"&amp;A$30&amp;"'!"&amp;"B15") ="",INDIRECT("'"&amp;A$30&amp;"'!"&amp;"C15"),INDIRECT("'"&amp;A$30&amp;"'!"&amp;"B15"))</f>
        <v/>
      </c>
      <c r="W30" s="60" t="str">
        <f t="array" ref="W30">IFERROR(AVERAGE(INDIRECT("'"&amp;A$30&amp;"'!"&amp;"B15:F15")),"")</f>
        <v/>
      </c>
      <c r="X30" s="60" t="str">
        <f t="array" ref="X30">IF(INDIRECT("'"&amp;A$30&amp;"'!"&amp;"B5") ="",INDIRECT("'"&amp;A$30&amp;"'!"&amp;"C5"),INDIRECT("'"&amp;A$30&amp;"'!"&amp;"B5"))</f>
        <v/>
      </c>
      <c r="Y30" s="60" t="str">
        <f t="array" ref="Y30">IFERROR(AVERAGE(INDIRECT("'"&amp;A$30&amp;"'!"&amp;"B5:F5")),"")</f>
        <v/>
      </c>
      <c r="Z30" s="60" t="str">
        <f t="array" ref="Z30">IF(INDIRECT("'"&amp;A$30&amp;"'!"&amp;"B7") ="",INDIRECT("'"&amp;A$30&amp;"'!"&amp;"C7"),INDIRECT("'"&amp;A$30&amp;"'!"&amp;"B7"))</f>
        <v/>
      </c>
      <c r="AA30" s="60" t="str">
        <f t="array" ref="AA30">IFERROR(AVERAGE(INDIRECT("'"&amp;A$30&amp;"'!"&amp;"B7:F7")),"")</f>
        <v/>
      </c>
      <c r="AB30" s="61" t="str">
        <f t="shared" si="5"/>
        <v/>
      </c>
      <c r="AC30" s="62">
        <f t="shared" si="6"/>
        <v>0.03565708419</v>
      </c>
      <c r="AD30" s="63" t="str">
        <f t="shared" si="7"/>
        <v/>
      </c>
      <c r="AE30" s="63" t="str">
        <f t="shared" si="8"/>
        <v/>
      </c>
      <c r="AF30" s="62" t="str">
        <f t="shared" si="9"/>
        <v/>
      </c>
      <c r="AG30" s="62">
        <f t="shared" si="10"/>
        <v>0.02558521561</v>
      </c>
      <c r="AI30" s="62" t="str">
        <f t="array" ref="AI30">IF(INDIRECT("'"&amp;A$30&amp;"'!"&amp;"B16") ="",INDIRECT("'"&amp;A$30&amp;"'!"&amp;"C16"),INDIRECT("'"&amp;A$30&amp;"'!"&amp;"B16"))</f>
        <v/>
      </c>
      <c r="AJ30" s="62" t="str">
        <f t="array" ref="AJ30">IFERROR(AVERAGE(INDIRECT("'"&amp;A$30&amp;"'!"&amp;"B16:F16")),"")</f>
        <v/>
      </c>
      <c r="AK30" s="62">
        <f t="shared" si="11"/>
        <v>0.02558521561</v>
      </c>
      <c r="AL30" s="64" t="str">
        <f t="shared" si="12"/>
        <v/>
      </c>
      <c r="AM30" s="64" t="str">
        <f t="shared" si="13"/>
        <v/>
      </c>
      <c r="AN30" s="64" t="str">
        <f t="shared" si="21"/>
        <v/>
      </c>
      <c r="AO30" s="64" t="str">
        <f t="shared" si="15"/>
        <v/>
      </c>
      <c r="AP30" s="65" t="str">
        <f t="shared" si="16"/>
        <v/>
      </c>
      <c r="AQ30" s="1"/>
      <c r="AR30" s="1"/>
      <c r="AS30" s="1"/>
      <c r="AT30" s="1"/>
      <c r="AU30" s="1"/>
      <c r="AV30" s="1"/>
    </row>
    <row r="31" ht="13.5" customHeight="1">
      <c r="A31" s="71" t="s">
        <v>95</v>
      </c>
      <c r="B31" s="66" t="s">
        <v>96</v>
      </c>
      <c r="C31" s="48" t="str">
        <f t="array" ref="C31">IF(INDIRECT("'"&amp;A$31&amp;"'!"&amp;"B10") ="",INDIRECT("'"&amp;A$31&amp;"'!"&amp;"C1"),INDIRECT("'"&amp;A$31&amp;"'!"&amp;"B1"))</f>
        <v>2023 Q1</v>
      </c>
      <c r="D31" s="49">
        <f>IFERROR(E31/SUM(E13:E35),0)</f>
        <v>0</v>
      </c>
      <c r="E31" s="50">
        <f>SUMIFS(COMPRAS!B:B,COMPRAS!A:A,B31)</f>
        <v>0</v>
      </c>
      <c r="F31" s="72">
        <v>20.0</v>
      </c>
      <c r="G31" s="52">
        <f>IFERROR(yahooF(A31&amp;".MX",1),F31)</f>
        <v>20</v>
      </c>
      <c r="H31" s="53">
        <f>IFERROR(__xludf.DUMMYFUNCTION("IFERROR(G31,(GOOGLEFINANCE(A31,""high52"") + GOOGLEFINANCE(A31,""low52""))/2)"),20.0)</f>
        <v>20</v>
      </c>
      <c r="I31" s="73" t="s">
        <v>97</v>
      </c>
      <c r="J31" s="55" t="s">
        <v>97</v>
      </c>
      <c r="K31" s="51">
        <f t="shared" si="2"/>
        <v>0</v>
      </c>
      <c r="L31" s="51">
        <f>IFERROR(SUMIFS(COMPRAS!G:G,COMPRAS!A:A,B31),0)</f>
        <v>0</v>
      </c>
      <c r="M31" s="51">
        <f t="shared" si="3"/>
        <v>0</v>
      </c>
      <c r="N31" s="56" t="str">
        <f t="array" ref="N31">IF(INDIRECT("'"&amp;A$31&amp;"'!"&amp;"B12") ="",INDIRECT("'"&amp;A$31&amp;"'!"&amp;"C12"),INDIRECT("'"&amp;A$31&amp;"'!"&amp;"B12"))</f>
        <v/>
      </c>
      <c r="O31" s="57" t="str">
        <f t="array" ref="O31">IFERROR(AVERAGE(INDIRECT("'"&amp;A$31&amp;"'!"&amp;"B12:F12")),"")</f>
        <v/>
      </c>
      <c r="P31" s="58" t="str">
        <f t="array" ref="P31">IF(INDIRECT("'"&amp;A$31&amp;"'!"&amp;"B17") ="",INDIRECT("'"&amp;A$31&amp;"'!"&amp;"C17"),INDIRECT("'"&amp;A$31&amp;"'!"&amp;"B17"))</f>
        <v/>
      </c>
      <c r="Q31" s="58" t="str">
        <f t="array" ref="Q31">IFERROR(AVERAGE(INDIRECT("'"&amp;A$31&amp;"'!"&amp;"B17:F17")),"")</f>
        <v/>
      </c>
      <c r="R31" s="59">
        <f t="array" ref="R31">IF(INDIRECT("'"&amp;A$31&amp;"'!"&amp;"B10") ="",INDIRECT("'"&amp;A$31&amp;"'!"&amp;"C10"),INDIRECT("'"&amp;A$31&amp;"'!"&amp;"B10"))</f>
        <v>0.474875</v>
      </c>
      <c r="S31" s="59">
        <f t="array" ref="S31">IFERROR(AVERAGE(INDIRECT("'"&amp;A$31&amp;"'!"&amp;"B10:F10")),"")</f>
        <v>0.094975</v>
      </c>
      <c r="T31" s="58">
        <f t="shared" ref="T31:U31" si="37">R31*4</f>
        <v>1.8995</v>
      </c>
      <c r="U31" s="58">
        <f t="shared" si="37"/>
        <v>0.3799</v>
      </c>
      <c r="V31" s="60" t="str">
        <f t="array" ref="V31">IF(INDIRECT("'"&amp;A$31&amp;"'!"&amp;"B15") ="",INDIRECT("'"&amp;A$31&amp;"'!"&amp;"C15"),INDIRECT("'"&amp;A$31&amp;"'!"&amp;"B15"))</f>
        <v/>
      </c>
      <c r="W31" s="60" t="str">
        <f t="array" ref="W31">IFERROR(AVERAGE(INDIRECT("'"&amp;A$31&amp;"'!"&amp;"B15:F15")),"")</f>
        <v/>
      </c>
      <c r="X31" s="60" t="str">
        <f t="array" ref="X31">IF(INDIRECT("'"&amp;A$31&amp;"'!"&amp;"B5") ="",INDIRECT("'"&amp;A$31&amp;"'!"&amp;"C5"),INDIRECT("'"&amp;A$31&amp;"'!"&amp;"B5"))</f>
        <v/>
      </c>
      <c r="Y31" s="60" t="str">
        <f t="array" ref="Y31">IFERROR(AVERAGE(INDIRECT("'"&amp;A$31&amp;"'!"&amp;"B5:F5")),"")</f>
        <v/>
      </c>
      <c r="Z31" s="60" t="str">
        <f t="array" ref="Z31">IF(INDIRECT("'"&amp;A$31&amp;"'!"&amp;"B7") ="",INDIRECT("'"&amp;A$31&amp;"'!"&amp;"C7"),INDIRECT("'"&amp;A$31&amp;"'!"&amp;"B7"))</f>
        <v/>
      </c>
      <c r="AA31" s="60" t="str">
        <f t="array" ref="AA31">IFERROR(AVERAGE(INDIRECT("'"&amp;A$31&amp;"'!"&amp;"B7:F7")),"")</f>
        <v/>
      </c>
      <c r="AB31" s="61" t="str">
        <f t="shared" si="5"/>
        <v/>
      </c>
      <c r="AC31" s="62">
        <f t="shared" si="6"/>
        <v>0.018995</v>
      </c>
      <c r="AD31" s="63" t="str">
        <f t="shared" si="7"/>
        <v/>
      </c>
      <c r="AE31" s="63" t="str">
        <f t="shared" si="8"/>
        <v/>
      </c>
      <c r="AF31" s="62" t="str">
        <f t="shared" si="9"/>
        <v/>
      </c>
      <c r="AG31" s="62">
        <f t="shared" si="10"/>
        <v>0.094975</v>
      </c>
      <c r="AI31" s="62" t="str">
        <f t="array" ref="AI31">IF(INDIRECT("'"&amp;A$31&amp;"'!"&amp;"B16") ="",INDIRECT("'"&amp;A$31&amp;"'!"&amp;"C16"),INDIRECT("'"&amp;A$31&amp;"'!"&amp;"B16"))</f>
        <v/>
      </c>
      <c r="AJ31" s="62" t="str">
        <f t="array" ref="AJ31">IFERROR(AVERAGE(INDIRECT("'"&amp;A$31&amp;"'!"&amp;"B16:F16")),"")</f>
        <v/>
      </c>
      <c r="AK31" s="62">
        <f t="shared" si="11"/>
        <v>0.094975</v>
      </c>
      <c r="AL31" s="64" t="str">
        <f t="shared" si="12"/>
        <v/>
      </c>
      <c r="AM31" s="64" t="str">
        <f t="shared" si="13"/>
        <v/>
      </c>
      <c r="AN31" s="64" t="str">
        <f t="shared" si="21"/>
        <v/>
      </c>
      <c r="AO31" s="64" t="str">
        <f t="shared" si="15"/>
        <v/>
      </c>
      <c r="AP31" s="65" t="str">
        <f t="shared" si="16"/>
        <v/>
      </c>
      <c r="AQ31" s="1"/>
      <c r="AR31" s="1"/>
      <c r="AS31" s="1"/>
      <c r="AT31" s="1"/>
      <c r="AU31" s="1"/>
      <c r="AV31" s="1"/>
    </row>
    <row r="32" ht="13.5" customHeight="1">
      <c r="A32" s="71" t="s">
        <v>98</v>
      </c>
      <c r="B32" s="66" t="s">
        <v>99</v>
      </c>
      <c r="C32" s="48" t="str">
        <f t="array" ref="C32">IF(INDIRECT("'"&amp;A$32&amp;"'!"&amp;"B10") ="",INDIRECT("'"&amp;A$32&amp;"'!"&amp;"C1"),INDIRECT("'"&amp;A$32&amp;"'!"&amp;"B1"))</f>
        <v>2022 Q4</v>
      </c>
      <c r="D32" s="49">
        <f>IFERROR(E32/SUM(E13:E35),0)</f>
        <v>0</v>
      </c>
      <c r="E32" s="50">
        <f>SUMIFS(COMPRAS!B:B,COMPRAS!A:A,B32)</f>
        <v>0</v>
      </c>
      <c r="F32" s="51">
        <f>IFERROR(AVERAGEIFS(COMPRAS!C:C,COMPRAS!A:A,B32),0)</f>
        <v>0</v>
      </c>
      <c r="G32" s="52" t="str">
        <f>yahooF(A32&amp;".MX",1)</f>
        <v>#ERROR!</v>
      </c>
      <c r="H32" s="53">
        <f>IFERROR(__xludf.DUMMYFUNCTION("IFERROR(G32,(GOOGLEFINANCE(A32,""high52"") + GOOGLEFINANCE(A32,""low52""))/2)"),35.45)</f>
        <v>35.45</v>
      </c>
      <c r="I32" s="73" t="str">
        <f>yahooF(A32&amp;".MX",2)</f>
        <v>#ERROR!</v>
      </c>
      <c r="J32" s="55">
        <v>2265.0</v>
      </c>
      <c r="K32" s="51">
        <f t="shared" si="2"/>
        <v>0</v>
      </c>
      <c r="L32" s="51">
        <f>IFERROR(SUMIFS(COMPRAS!G:G,COMPRAS!A:A,B32),0)</f>
        <v>0</v>
      </c>
      <c r="M32" s="51" t="str">
        <f t="shared" si="3"/>
        <v>#ERROR!</v>
      </c>
      <c r="N32" s="56" t="str">
        <f t="array" ref="N32">IF(INDIRECT("'"&amp;A$32&amp;"'!"&amp;"B12") ="",INDIRECT("'"&amp;A$32&amp;"'!"&amp;"C12"),INDIRECT("'"&amp;A$32&amp;"'!"&amp;"B12"))</f>
        <v/>
      </c>
      <c r="O32" s="57" t="str">
        <f t="array" ref="O32">IFERROR(AVERAGE(INDIRECT("'"&amp;A$32&amp;"'!"&amp;"B12:F12")),"")</f>
        <v/>
      </c>
      <c r="P32" s="58" t="str">
        <f t="array" ref="P32">IF(INDIRECT("'"&amp;A$32&amp;"'!"&amp;"B17") ="",INDIRECT("'"&amp;A$32&amp;"'!"&amp;"C17"),INDIRECT("'"&amp;A$32&amp;"'!"&amp;"B17"))</f>
        <v/>
      </c>
      <c r="Q32" s="58" t="str">
        <f t="array" ref="Q32">IFERROR(AVERAGE(INDIRECT("'"&amp;A$32&amp;"'!"&amp;"B17:F17")),"")</f>
        <v/>
      </c>
      <c r="R32" s="59" t="str">
        <f t="array" ref="R32">IF(INDIRECT("'"&amp;A$32&amp;"'!"&amp;"B10") ="",INDIRECT("'"&amp;A$32&amp;"'!"&amp;"C10"),INDIRECT("'"&amp;A$32&amp;"'!"&amp;"B10"))</f>
        <v/>
      </c>
      <c r="S32" s="59" t="str">
        <f t="array" ref="S32">IFERROR(AVERAGE(INDIRECT("'"&amp;A$32&amp;"'!"&amp;"B10:F10")),"")</f>
        <v/>
      </c>
      <c r="T32" s="58">
        <f t="shared" ref="T32:U32" si="38">R32*4</f>
        <v>0</v>
      </c>
      <c r="U32" s="58">
        <f t="shared" si="38"/>
        <v>0</v>
      </c>
      <c r="V32" s="60" t="str">
        <f t="array" ref="V32">IF(INDIRECT("'"&amp;A$32&amp;"'!"&amp;"B15") ="",INDIRECT("'"&amp;A$32&amp;"'!"&amp;"C15"),INDIRECT("'"&amp;A$32&amp;"'!"&amp;"B15"))</f>
        <v/>
      </c>
      <c r="W32" s="60" t="str">
        <f t="array" ref="W32">IFERROR(AVERAGE(INDIRECT("'"&amp;A$32&amp;"'!"&amp;"B15:F15")),"")</f>
        <v/>
      </c>
      <c r="X32" s="60" t="str">
        <f t="array" ref="X32">IF(INDIRECT("'"&amp;A$32&amp;"'!"&amp;"B5") ="",INDIRECT("'"&amp;A$32&amp;"'!"&amp;"C5"),INDIRECT("'"&amp;A$32&amp;"'!"&amp;"B5"))</f>
        <v/>
      </c>
      <c r="Y32" s="60" t="str">
        <f t="array" ref="Y32">IFERROR(AVERAGE(INDIRECT("'"&amp;A$32&amp;"'!"&amp;"B5:F5")),"")</f>
        <v/>
      </c>
      <c r="Z32" s="60" t="str">
        <f t="array" ref="Z32">IF(INDIRECT("'"&amp;A$32&amp;"'!"&amp;"B7") ="",INDIRECT("'"&amp;A$32&amp;"'!"&amp;"C7"),INDIRECT("'"&amp;A$32&amp;"'!"&amp;"B7"))</f>
        <v/>
      </c>
      <c r="AA32" s="60" t="str">
        <f t="array" ref="AA32">IFERROR(AVERAGE(INDIRECT("'"&amp;A$32&amp;"'!"&amp;"B7:F7")),"")</f>
        <v/>
      </c>
      <c r="AB32" s="61" t="str">
        <f t="shared" si="5"/>
        <v/>
      </c>
      <c r="AC32" s="62" t="str">
        <f t="shared" si="6"/>
        <v/>
      </c>
      <c r="AD32" s="63" t="str">
        <f t="shared" si="7"/>
        <v/>
      </c>
      <c r="AE32" s="63" t="str">
        <f t="shared" si="8"/>
        <v/>
      </c>
      <c r="AF32" s="62" t="str">
        <f t="shared" si="9"/>
        <v/>
      </c>
      <c r="AG32" s="62" t="str">
        <f t="shared" si="10"/>
        <v/>
      </c>
      <c r="AI32" s="62" t="str">
        <f t="array" ref="AI32">IF(INDIRECT("'"&amp;A$32&amp;"'!"&amp;"B16") ="",INDIRECT("'"&amp;A$32&amp;"'!"&amp;"C16"),INDIRECT("'"&amp;A$32&amp;"'!"&amp;"B16"))</f>
        <v/>
      </c>
      <c r="AJ32" s="62" t="str">
        <f t="array" ref="AJ32">IFERROR(AVERAGE(INDIRECT("'"&amp;A$32&amp;"'!"&amp;"B16:F16")),"")</f>
        <v/>
      </c>
      <c r="AK32" s="62" t="str">
        <f t="shared" si="11"/>
        <v>#DIV/0!</v>
      </c>
      <c r="AL32" s="64" t="str">
        <f t="shared" si="12"/>
        <v/>
      </c>
      <c r="AM32" s="64" t="str">
        <f t="shared" si="13"/>
        <v/>
      </c>
      <c r="AN32" s="64" t="str">
        <f t="shared" si="21"/>
        <v/>
      </c>
      <c r="AO32" s="64" t="str">
        <f t="shared" si="15"/>
        <v/>
      </c>
      <c r="AP32" s="65" t="str">
        <f t="shared" si="16"/>
        <v/>
      </c>
      <c r="AQ32" s="1"/>
      <c r="AR32" s="1"/>
      <c r="AS32" s="1"/>
      <c r="AT32" s="1"/>
      <c r="AU32" s="1"/>
      <c r="AV32" s="1"/>
    </row>
    <row r="33" ht="13.5" customHeight="1">
      <c r="A33" s="74" t="s">
        <v>100</v>
      </c>
      <c r="B33" s="75" t="s">
        <v>101</v>
      </c>
      <c r="C33" s="48" t="str">
        <f t="array" ref="C33">IF(INDIRECT("'"&amp;A$33&amp;"'!"&amp;"B10") ="",INDIRECT("'"&amp;A$33&amp;"'!"&amp;"C1"),INDIRECT("'"&amp;A$3&amp;"'!"&amp;"B1"))</f>
        <v>2022 Q4</v>
      </c>
      <c r="D33" s="49">
        <f>IFERROR(E33/SUM(E13:E35),0)</f>
        <v>0</v>
      </c>
      <c r="E33" s="76">
        <v>0.0</v>
      </c>
      <c r="F33" s="77">
        <v>40.0</v>
      </c>
      <c r="G33" s="52">
        <f>IFERROR(yahooF(A33&amp;".MX",1),F33)</f>
        <v>40</v>
      </c>
      <c r="H33" s="53">
        <f>IFERROR(__xludf.DUMMYFUNCTION("IFERROR(G33,(GOOGLEFINANCE(A33,""high52"") + GOOGLEFINANCE(A33,""low52""))/2)"),40.0)</f>
        <v>40</v>
      </c>
      <c r="I33" s="78" t="s">
        <v>97</v>
      </c>
      <c r="J33" s="79" t="s">
        <v>97</v>
      </c>
      <c r="K33" s="51">
        <f t="shared" si="2"/>
        <v>0</v>
      </c>
      <c r="L33" s="51">
        <f>IFERROR(SUMIFS(COMPRAS!G:G,COMPRAS!A:A,B33),0)</f>
        <v>0</v>
      </c>
      <c r="M33" s="51">
        <f t="shared" si="3"/>
        <v>0</v>
      </c>
      <c r="N33" s="80"/>
      <c r="O33" s="81"/>
      <c r="P33" s="82"/>
      <c r="Q33" s="82"/>
      <c r="R33" s="83"/>
      <c r="S33" s="83"/>
      <c r="T33" s="58">
        <f t="shared" ref="T33:U33" si="39">R33*4</f>
        <v>0</v>
      </c>
      <c r="U33" s="58">
        <f t="shared" si="39"/>
        <v>0</v>
      </c>
      <c r="V33" s="84"/>
      <c r="W33" s="84"/>
      <c r="X33" s="84"/>
      <c r="Y33" s="84"/>
      <c r="Z33" s="84"/>
      <c r="AA33" s="84"/>
      <c r="AB33" s="85"/>
      <c r="AC33" s="62">
        <f t="shared" si="6"/>
        <v>0</v>
      </c>
      <c r="AD33" s="86"/>
      <c r="AE33" s="86"/>
      <c r="AF33" s="87"/>
      <c r="AG33" s="62">
        <f t="shared" si="10"/>
        <v>0</v>
      </c>
      <c r="AI33" s="87"/>
      <c r="AJ33" s="87"/>
      <c r="AK33" s="62">
        <f t="shared" si="11"/>
        <v>0</v>
      </c>
      <c r="AL33" s="88"/>
      <c r="AM33" s="88"/>
      <c r="AN33" s="88"/>
      <c r="AO33" s="64" t="str">
        <f t="shared" si="15"/>
        <v/>
      </c>
      <c r="AP33" s="89"/>
      <c r="AQ33" s="1"/>
      <c r="AR33" s="1"/>
      <c r="AS33" s="1"/>
      <c r="AT33" s="1"/>
      <c r="AU33" s="1"/>
      <c r="AV33" s="1"/>
    </row>
    <row r="34" ht="13.5" customHeight="1">
      <c r="A34" s="90"/>
      <c r="H34" s="91"/>
      <c r="I34" s="91"/>
      <c r="J34" s="91"/>
      <c r="S34" s="92"/>
      <c r="AD34" s="93"/>
      <c r="AE34" s="93"/>
    </row>
    <row r="35" ht="13.5" customHeight="1">
      <c r="A35" s="90"/>
      <c r="H35" s="91"/>
      <c r="I35" s="91"/>
      <c r="J35" s="91"/>
      <c r="S35" s="92"/>
      <c r="AD35" s="93"/>
      <c r="AE35" s="93"/>
    </row>
    <row r="36" ht="13.5" customHeight="1">
      <c r="A36" s="90"/>
      <c r="H36" s="91"/>
      <c r="I36" s="91"/>
      <c r="J36" s="91"/>
      <c r="S36" s="92"/>
      <c r="AD36" s="93"/>
      <c r="AE36" s="93"/>
    </row>
    <row r="37" ht="13.5" customHeight="1">
      <c r="A37" s="71" t="s">
        <v>102</v>
      </c>
      <c r="B37" s="66" t="s">
        <v>103</v>
      </c>
      <c r="E37" s="50">
        <f>SUMIFS(COMPRAS!B:B,COMPRAS!A:A,B37)</f>
        <v>0</v>
      </c>
      <c r="F37" s="51">
        <f>IFERROR(AVERAGEIFS(COMPRAS!C:C,COMPRAS!A:A,B37),0)</f>
        <v>21.48666667</v>
      </c>
      <c r="G37" s="51">
        <f>IFERROR(__xludf.DUMMYFUNCTION("GOOGLEFINANCE(A37,""price"")"),30.2)</f>
        <v>30.2</v>
      </c>
      <c r="H37" s="54"/>
      <c r="I37" s="54">
        <f>IFERROR(__xludf.DUMMYFUNCTION("GOOGLEFINANCE(A37,""changepct"")"),3.07)</f>
        <v>3.07</v>
      </c>
      <c r="J37" s="67">
        <f>IFERROR(__xludf.DUMMYFUNCTION("GOOGLEFINANCE(A37,""volume"")"),5581.0)</f>
        <v>5581</v>
      </c>
      <c r="K37" s="51">
        <f>E37*F37</f>
        <v>0</v>
      </c>
      <c r="L37" s="51">
        <f>IFERROR(SUMIFS(COMPRAS!G:G,COMPRAS!A:A,B37),0)</f>
        <v>21.8023</v>
      </c>
      <c r="M37" s="51">
        <f>E37*G37</f>
        <v>0</v>
      </c>
      <c r="R37" s="58">
        <f t="array" ref="R37">IF(INDIRECT("'"&amp;A$30&amp;"'!"&amp;"B10") ="",INDIRECT("'"&amp;A$30&amp;"'!"&amp;"C10"),INDIRECT("'"&amp;A$30&amp;"'!"&amp;"B10"))</f>
        <v>0.1246</v>
      </c>
      <c r="S37" s="59">
        <f t="array" ref="S37">IFERROR(AVERAGE(INDIRECT("'"&amp;A$30&amp;"'!"&amp;"B10:F10")),"")</f>
        <v>0.17365</v>
      </c>
      <c r="T37" s="58">
        <f>S37*4</f>
        <v>0.6946</v>
      </c>
      <c r="U37" s="58">
        <f>S37*4</f>
        <v>0.6946</v>
      </c>
      <c r="AB37" s="61" t="str">
        <f>IFERROR((G37/(L37/E37))-1,"")</f>
        <v/>
      </c>
      <c r="AC37" s="61">
        <f>IFERROR((G37/F37)-1,"")</f>
        <v>0.4055228048</v>
      </c>
      <c r="AD37" s="63">
        <f>IFERROR(IF(M37-L37=0,"",M37-L37),"")</f>
        <v>-21.8023</v>
      </c>
      <c r="AE37" s="63" t="str">
        <f>IFERROR(IF(M37-K37=0,"",M37-K37),"")</f>
        <v/>
      </c>
      <c r="AG37" s="62">
        <f>IFERROR(T37/G37,"")</f>
        <v>0.023</v>
      </c>
      <c r="AH37" s="62">
        <f>IFERROR(U37/G37,"")</f>
        <v>0.023</v>
      </c>
      <c r="AL37" s="64" t="str">
        <f>IFERROR(IF(R37*E37=0,"",R37*E37),"")</f>
        <v/>
      </c>
      <c r="AM37" s="64" t="str">
        <f>IFERROR(IF(S37*E37=0,"",S37*E37),"")</f>
        <v/>
      </c>
      <c r="AN37" s="64" t="str">
        <f>IFERROR(IF(T37*E37=0,"",T37*E37),"")</f>
        <v/>
      </c>
      <c r="AO37" s="64" t="str">
        <f>IFERROR(IF(U37*E37=0,"",U37*E37),"")</f>
        <v/>
      </c>
      <c r="AP37" s="65" t="str">
        <f>IF(AH37*D37=0,"",AH37*D37)</f>
        <v/>
      </c>
    </row>
    <row r="38" ht="13.5" customHeight="1">
      <c r="A38" s="90"/>
      <c r="H38" s="91"/>
      <c r="I38" s="91"/>
      <c r="J38" s="91"/>
      <c r="S38" s="92"/>
      <c r="AD38" s="93"/>
      <c r="AE38" s="93"/>
    </row>
    <row r="39" ht="13.5" customHeight="1">
      <c r="A39" s="90"/>
      <c r="H39" s="91"/>
      <c r="I39" s="91"/>
      <c r="J39" s="91"/>
      <c r="S39" s="92"/>
      <c r="AD39" s="93"/>
      <c r="AE39" s="93"/>
    </row>
    <row r="40" ht="13.5" customHeight="1">
      <c r="A40" s="90"/>
      <c r="H40" s="91"/>
      <c r="I40" s="91"/>
      <c r="J40" s="91"/>
      <c r="S40" s="92"/>
      <c r="AD40" s="93"/>
      <c r="AE40" s="93"/>
    </row>
    <row r="41" ht="13.5" customHeight="1">
      <c r="A41" s="90"/>
      <c r="H41" s="91"/>
      <c r="I41" s="91"/>
      <c r="J41" s="91"/>
      <c r="S41" s="92"/>
      <c r="AD41" s="93"/>
      <c r="AE41" s="93"/>
    </row>
    <row r="42" ht="13.5" customHeight="1">
      <c r="A42" s="90"/>
      <c r="H42" s="91"/>
      <c r="I42" s="91"/>
      <c r="J42" s="91"/>
      <c r="S42" s="92"/>
      <c r="AD42" s="93"/>
      <c r="AE42" s="93"/>
    </row>
    <row r="43" ht="13.5" customHeight="1">
      <c r="A43" s="90"/>
      <c r="H43" s="91"/>
      <c r="I43" s="91"/>
      <c r="J43" s="91"/>
      <c r="S43" s="92"/>
      <c r="AD43" s="93"/>
      <c r="AE43" s="93"/>
    </row>
    <row r="44" ht="13.5" customHeight="1">
      <c r="A44" s="90"/>
      <c r="H44" s="91"/>
      <c r="I44" s="91"/>
      <c r="J44" s="91"/>
      <c r="S44" s="92"/>
      <c r="AD44" s="93"/>
      <c r="AE44" s="93"/>
    </row>
    <row r="45" ht="13.5" customHeight="1">
      <c r="A45" s="90"/>
      <c r="H45" s="91"/>
      <c r="I45" s="91"/>
      <c r="J45" s="91"/>
      <c r="S45" s="92"/>
      <c r="AD45" s="93"/>
      <c r="AE45" s="93"/>
    </row>
    <row r="46" ht="13.5" customHeight="1">
      <c r="A46" s="90"/>
      <c r="H46" s="91"/>
      <c r="I46" s="91"/>
      <c r="J46" s="91"/>
      <c r="S46" s="92"/>
      <c r="AD46" s="93"/>
      <c r="AE46" s="93"/>
    </row>
    <row r="47" ht="13.5" customHeight="1">
      <c r="A47" s="90"/>
      <c r="H47" s="91"/>
      <c r="I47" s="91"/>
      <c r="J47" s="91"/>
      <c r="S47" s="92"/>
      <c r="AD47" s="93"/>
      <c r="AE47" s="93"/>
    </row>
    <row r="48" ht="13.5" customHeight="1">
      <c r="A48" s="90"/>
      <c r="H48" s="91"/>
      <c r="I48" s="91"/>
      <c r="J48" s="91"/>
      <c r="S48" s="92"/>
      <c r="AD48" s="93"/>
      <c r="AE48" s="93"/>
    </row>
    <row r="49" ht="13.5" customHeight="1">
      <c r="A49" s="90"/>
      <c r="H49" s="91"/>
      <c r="I49" s="91"/>
      <c r="J49" s="91"/>
      <c r="S49" s="92"/>
      <c r="AD49" s="93"/>
      <c r="AE49" s="93"/>
    </row>
    <row r="50" ht="13.5" customHeight="1">
      <c r="A50" s="90"/>
      <c r="H50" s="91"/>
      <c r="I50" s="91"/>
      <c r="J50" s="91"/>
      <c r="S50" s="92"/>
      <c r="AD50" s="93"/>
      <c r="AE50" s="93"/>
    </row>
    <row r="51" ht="13.5" customHeight="1">
      <c r="A51" s="90"/>
      <c r="H51" s="91"/>
      <c r="I51" s="91"/>
      <c r="J51" s="91"/>
      <c r="S51" s="92"/>
      <c r="AD51" s="93"/>
      <c r="AE51" s="93"/>
    </row>
    <row r="52" ht="13.5" customHeight="1">
      <c r="A52" s="90"/>
      <c r="H52" s="91"/>
      <c r="I52" s="91"/>
      <c r="J52" s="91"/>
      <c r="S52" s="92"/>
      <c r="AD52" s="93"/>
      <c r="AE52" s="93"/>
    </row>
    <row r="53" ht="13.5" customHeight="1">
      <c r="A53" s="90"/>
      <c r="H53" s="91"/>
      <c r="I53" s="91"/>
      <c r="J53" s="91"/>
      <c r="S53" s="92"/>
      <c r="AD53" s="93"/>
      <c r="AE53" s="93"/>
    </row>
    <row r="54" ht="13.5" customHeight="1">
      <c r="A54" s="90"/>
      <c r="H54" s="91"/>
      <c r="I54" s="91"/>
      <c r="J54" s="91"/>
      <c r="S54" s="92"/>
      <c r="AD54" s="93"/>
      <c r="AE54" s="93"/>
    </row>
    <row r="55" ht="13.5" customHeight="1">
      <c r="A55" s="90"/>
      <c r="H55" s="91"/>
      <c r="I55" s="91"/>
      <c r="J55" s="91"/>
      <c r="S55" s="92"/>
      <c r="AD55" s="93"/>
      <c r="AE55" s="93"/>
    </row>
    <row r="56" ht="13.5" customHeight="1">
      <c r="A56" s="90"/>
      <c r="H56" s="91"/>
      <c r="I56" s="91"/>
      <c r="J56" s="91"/>
      <c r="S56" s="92"/>
      <c r="AD56" s="93"/>
      <c r="AE56" s="93"/>
    </row>
    <row r="57" ht="13.5" customHeight="1">
      <c r="A57" s="90"/>
      <c r="H57" s="91"/>
      <c r="I57" s="91"/>
      <c r="J57" s="91"/>
      <c r="S57" s="92"/>
      <c r="AD57" s="93"/>
      <c r="AE57" s="93"/>
    </row>
    <row r="58" ht="13.5" customHeight="1">
      <c r="A58" s="90"/>
      <c r="H58" s="91"/>
      <c r="I58" s="91"/>
      <c r="J58" s="91"/>
      <c r="S58" s="92"/>
      <c r="AD58" s="93"/>
      <c r="AE58" s="93"/>
    </row>
    <row r="59" ht="13.5" customHeight="1">
      <c r="A59" s="90"/>
      <c r="H59" s="91"/>
      <c r="I59" s="91"/>
      <c r="J59" s="91"/>
      <c r="S59" s="92"/>
      <c r="AD59" s="93"/>
      <c r="AE59" s="93"/>
    </row>
    <row r="60" ht="13.5" customHeight="1">
      <c r="A60" s="90"/>
      <c r="H60" s="91"/>
      <c r="I60" s="91"/>
      <c r="J60" s="91"/>
      <c r="S60" s="92"/>
      <c r="AD60" s="93"/>
      <c r="AE60" s="93"/>
    </row>
    <row r="61" ht="13.5" customHeight="1">
      <c r="A61" s="90"/>
      <c r="H61" s="91"/>
      <c r="I61" s="91"/>
      <c r="J61" s="91"/>
      <c r="S61" s="92"/>
      <c r="AD61" s="93"/>
      <c r="AE61" s="93"/>
    </row>
    <row r="62" ht="13.5" customHeight="1">
      <c r="A62" s="90"/>
      <c r="H62" s="91"/>
      <c r="I62" s="91"/>
      <c r="J62" s="91"/>
      <c r="S62" s="92"/>
      <c r="AD62" s="93"/>
      <c r="AE62" s="93"/>
    </row>
    <row r="63" ht="13.5" customHeight="1">
      <c r="A63" s="90"/>
      <c r="H63" s="91"/>
      <c r="I63" s="91"/>
      <c r="J63" s="91"/>
      <c r="S63" s="92"/>
      <c r="AD63" s="93"/>
      <c r="AE63" s="93"/>
    </row>
    <row r="64" ht="13.5" customHeight="1">
      <c r="A64" s="90"/>
      <c r="H64" s="91"/>
      <c r="I64" s="91"/>
      <c r="J64" s="91"/>
      <c r="S64" s="92"/>
      <c r="AD64" s="93"/>
      <c r="AE64" s="93"/>
    </row>
    <row r="65" ht="13.5" customHeight="1">
      <c r="A65" s="90"/>
      <c r="H65" s="91"/>
      <c r="I65" s="91"/>
      <c r="J65" s="91"/>
      <c r="S65" s="92"/>
      <c r="AD65" s="93"/>
      <c r="AE65" s="93"/>
    </row>
    <row r="66" ht="13.5" customHeight="1">
      <c r="A66" s="90"/>
      <c r="H66" s="91"/>
      <c r="I66" s="91"/>
      <c r="J66" s="91"/>
      <c r="S66" s="92"/>
      <c r="AD66" s="93"/>
      <c r="AE66" s="93"/>
    </row>
    <row r="67" ht="13.5" customHeight="1">
      <c r="A67" s="90"/>
      <c r="H67" s="91"/>
      <c r="I67" s="91"/>
      <c r="J67" s="91"/>
      <c r="S67" s="92"/>
      <c r="AD67" s="93"/>
      <c r="AE67" s="93"/>
    </row>
    <row r="68" ht="13.5" customHeight="1">
      <c r="A68" s="90"/>
      <c r="H68" s="91"/>
      <c r="I68" s="91"/>
      <c r="J68" s="91"/>
      <c r="S68" s="92"/>
      <c r="AD68" s="93"/>
      <c r="AE68" s="93"/>
    </row>
    <row r="69" ht="13.5" customHeight="1">
      <c r="A69" s="90"/>
      <c r="H69" s="91"/>
      <c r="I69" s="91"/>
      <c r="J69" s="91"/>
      <c r="S69" s="92"/>
      <c r="AD69" s="93"/>
      <c r="AE69" s="93"/>
    </row>
    <row r="70" ht="13.5" customHeight="1">
      <c r="A70" s="90"/>
      <c r="H70" s="91"/>
      <c r="I70" s="91"/>
      <c r="J70" s="91"/>
      <c r="S70" s="92"/>
      <c r="AD70" s="93"/>
      <c r="AE70" s="93"/>
    </row>
    <row r="71" ht="13.5" customHeight="1">
      <c r="A71" s="90"/>
      <c r="H71" s="91"/>
      <c r="I71" s="91"/>
      <c r="J71" s="91"/>
      <c r="S71" s="92"/>
      <c r="AD71" s="93"/>
      <c r="AE71" s="93"/>
    </row>
    <row r="72" ht="13.5" customHeight="1">
      <c r="A72" s="90"/>
      <c r="H72" s="91"/>
      <c r="I72" s="91"/>
      <c r="J72" s="91"/>
      <c r="S72" s="92"/>
      <c r="AD72" s="93"/>
      <c r="AE72" s="93"/>
    </row>
    <row r="73" ht="13.5" customHeight="1">
      <c r="A73" s="90"/>
      <c r="H73" s="91"/>
      <c r="I73" s="91"/>
      <c r="J73" s="91"/>
      <c r="S73" s="92"/>
      <c r="AD73" s="93"/>
      <c r="AE73" s="93"/>
    </row>
    <row r="74" ht="13.5" customHeight="1">
      <c r="A74" s="90"/>
      <c r="H74" s="91"/>
      <c r="I74" s="91"/>
      <c r="J74" s="91"/>
      <c r="S74" s="92"/>
      <c r="AD74" s="93"/>
      <c r="AE74" s="93"/>
    </row>
    <row r="75" ht="13.5" customHeight="1">
      <c r="A75" s="90"/>
      <c r="H75" s="91"/>
      <c r="I75" s="91"/>
      <c r="J75" s="91"/>
      <c r="S75" s="92"/>
      <c r="AD75" s="93"/>
      <c r="AE75" s="93"/>
    </row>
    <row r="76" ht="13.5" customHeight="1">
      <c r="A76" s="90"/>
      <c r="H76" s="91"/>
      <c r="I76" s="91"/>
      <c r="J76" s="91"/>
      <c r="S76" s="92"/>
      <c r="AD76" s="93"/>
      <c r="AE76" s="93"/>
    </row>
    <row r="77" ht="13.5" customHeight="1">
      <c r="A77" s="90"/>
      <c r="H77" s="91"/>
      <c r="I77" s="91"/>
      <c r="J77" s="91"/>
      <c r="S77" s="92"/>
      <c r="AD77" s="93"/>
      <c r="AE77" s="93"/>
    </row>
    <row r="78" ht="13.5" customHeight="1">
      <c r="A78" s="90"/>
      <c r="H78" s="91"/>
      <c r="I78" s="91"/>
      <c r="J78" s="91"/>
      <c r="S78" s="92"/>
      <c r="AD78" s="93"/>
      <c r="AE78" s="93"/>
    </row>
    <row r="79" ht="13.5" customHeight="1">
      <c r="A79" s="90"/>
      <c r="H79" s="91"/>
      <c r="I79" s="91"/>
      <c r="J79" s="91"/>
      <c r="S79" s="92"/>
      <c r="AD79" s="93"/>
      <c r="AE79" s="93"/>
    </row>
    <row r="80" ht="13.5" customHeight="1">
      <c r="A80" s="90"/>
      <c r="H80" s="91"/>
      <c r="I80" s="91"/>
      <c r="J80" s="91"/>
      <c r="S80" s="92"/>
      <c r="AD80" s="93"/>
      <c r="AE80" s="93"/>
    </row>
    <row r="81" ht="13.5" customHeight="1">
      <c r="A81" s="90"/>
      <c r="H81" s="91"/>
      <c r="I81" s="91"/>
      <c r="J81" s="91"/>
      <c r="S81" s="92"/>
      <c r="AD81" s="93"/>
      <c r="AE81" s="93"/>
    </row>
    <row r="82" ht="13.5" customHeight="1">
      <c r="A82" s="90"/>
      <c r="H82" s="91"/>
      <c r="I82" s="91"/>
      <c r="J82" s="91"/>
      <c r="S82" s="92"/>
      <c r="AD82" s="93"/>
      <c r="AE82" s="93"/>
    </row>
    <row r="83" ht="13.5" customHeight="1">
      <c r="A83" s="90"/>
      <c r="H83" s="91"/>
      <c r="I83" s="91"/>
      <c r="J83" s="91"/>
      <c r="S83" s="92"/>
      <c r="AD83" s="93"/>
      <c r="AE83" s="93"/>
    </row>
    <row r="84" ht="13.5" customHeight="1">
      <c r="A84" s="90"/>
      <c r="H84" s="91"/>
      <c r="I84" s="91"/>
      <c r="J84" s="91"/>
      <c r="S84" s="92"/>
      <c r="AD84" s="93"/>
      <c r="AE84" s="93"/>
    </row>
    <row r="85" ht="13.5" customHeight="1">
      <c r="A85" s="90"/>
      <c r="H85" s="91"/>
      <c r="I85" s="91"/>
      <c r="J85" s="91"/>
      <c r="S85" s="92"/>
      <c r="AD85" s="93"/>
      <c r="AE85" s="93"/>
    </row>
    <row r="86" ht="13.5" customHeight="1">
      <c r="A86" s="90"/>
      <c r="H86" s="91"/>
      <c r="I86" s="91"/>
      <c r="J86" s="91"/>
      <c r="S86" s="92"/>
      <c r="AD86" s="93"/>
      <c r="AE86" s="93"/>
    </row>
    <row r="87" ht="13.5" customHeight="1">
      <c r="A87" s="90"/>
      <c r="H87" s="91"/>
      <c r="I87" s="91"/>
      <c r="J87" s="91"/>
      <c r="S87" s="92"/>
      <c r="AD87" s="93"/>
      <c r="AE87" s="93"/>
    </row>
    <row r="88" ht="13.5" customHeight="1">
      <c r="A88" s="90"/>
      <c r="H88" s="91"/>
      <c r="I88" s="91"/>
      <c r="J88" s="91"/>
      <c r="S88" s="92"/>
      <c r="AD88" s="93"/>
      <c r="AE88" s="93"/>
    </row>
    <row r="89" ht="13.5" customHeight="1">
      <c r="A89" s="90"/>
      <c r="H89" s="91"/>
      <c r="I89" s="91"/>
      <c r="J89" s="91"/>
      <c r="S89" s="92"/>
      <c r="AD89" s="93"/>
      <c r="AE89" s="93"/>
    </row>
    <row r="90" ht="13.5" customHeight="1">
      <c r="A90" s="90"/>
      <c r="H90" s="91"/>
      <c r="I90" s="91"/>
      <c r="J90" s="91"/>
      <c r="S90" s="92"/>
      <c r="AD90" s="93"/>
      <c r="AE90" s="93"/>
    </row>
    <row r="91" ht="13.5" customHeight="1">
      <c r="A91" s="90"/>
      <c r="H91" s="91"/>
      <c r="I91" s="91"/>
      <c r="J91" s="91"/>
      <c r="S91" s="92"/>
      <c r="AD91" s="93"/>
      <c r="AE91" s="93"/>
    </row>
    <row r="92" ht="13.5" customHeight="1">
      <c r="A92" s="90"/>
      <c r="H92" s="91"/>
      <c r="I92" s="91"/>
      <c r="J92" s="91"/>
      <c r="S92" s="92"/>
      <c r="AD92" s="93"/>
      <c r="AE92" s="93"/>
    </row>
    <row r="93" ht="13.5" customHeight="1">
      <c r="A93" s="90"/>
      <c r="H93" s="91"/>
      <c r="I93" s="91"/>
      <c r="J93" s="91"/>
      <c r="S93" s="92"/>
      <c r="AD93" s="93"/>
      <c r="AE93" s="93"/>
    </row>
    <row r="94" ht="13.5" customHeight="1">
      <c r="A94" s="90"/>
      <c r="H94" s="91"/>
      <c r="I94" s="91"/>
      <c r="J94" s="91"/>
      <c r="S94" s="92"/>
      <c r="AD94" s="93"/>
      <c r="AE94" s="93"/>
    </row>
    <row r="95" ht="13.5" customHeight="1">
      <c r="A95" s="90"/>
      <c r="H95" s="91"/>
      <c r="I95" s="91"/>
      <c r="J95" s="91"/>
      <c r="S95" s="92"/>
      <c r="AD95" s="93"/>
      <c r="AE95" s="93"/>
    </row>
    <row r="96" ht="13.5" customHeight="1">
      <c r="A96" s="90"/>
      <c r="H96" s="91"/>
      <c r="I96" s="91"/>
      <c r="J96" s="91"/>
      <c r="S96" s="92"/>
      <c r="AD96" s="93"/>
      <c r="AE96" s="93"/>
    </row>
    <row r="97" ht="13.5" customHeight="1">
      <c r="A97" s="90"/>
      <c r="H97" s="91"/>
      <c r="I97" s="91"/>
      <c r="J97" s="91"/>
      <c r="S97" s="92"/>
      <c r="AD97" s="93"/>
      <c r="AE97" s="93"/>
    </row>
    <row r="98" ht="13.5" customHeight="1">
      <c r="A98" s="90"/>
      <c r="H98" s="91"/>
      <c r="I98" s="91"/>
      <c r="J98" s="91"/>
      <c r="S98" s="92"/>
      <c r="AD98" s="93"/>
      <c r="AE98" s="93"/>
    </row>
    <row r="99" ht="13.5" customHeight="1">
      <c r="A99" s="90"/>
      <c r="H99" s="91"/>
      <c r="I99" s="91"/>
      <c r="J99" s="91"/>
      <c r="S99" s="92"/>
      <c r="AD99" s="93"/>
      <c r="AE99" s="93"/>
    </row>
    <row r="100" ht="13.5" customHeight="1">
      <c r="A100" s="90"/>
      <c r="H100" s="91"/>
      <c r="I100" s="91"/>
      <c r="J100" s="91"/>
      <c r="S100" s="92"/>
      <c r="AD100" s="93"/>
      <c r="AE100" s="93"/>
    </row>
    <row r="101" ht="13.5" customHeight="1">
      <c r="A101" s="90"/>
      <c r="H101" s="91"/>
      <c r="I101" s="91"/>
      <c r="J101" s="91"/>
      <c r="S101" s="92"/>
      <c r="AD101" s="93"/>
      <c r="AE101" s="93"/>
    </row>
    <row r="102" ht="13.5" customHeight="1">
      <c r="A102" s="90"/>
      <c r="H102" s="91"/>
      <c r="I102" s="91"/>
      <c r="J102" s="91"/>
      <c r="S102" s="92"/>
      <c r="AD102" s="93"/>
      <c r="AE102" s="93"/>
    </row>
    <row r="103" ht="13.5" customHeight="1">
      <c r="A103" s="90"/>
      <c r="H103" s="91"/>
      <c r="I103" s="91"/>
      <c r="J103" s="91"/>
      <c r="S103" s="92"/>
      <c r="AD103" s="93"/>
      <c r="AE103" s="93"/>
    </row>
    <row r="104" ht="13.5" customHeight="1">
      <c r="A104" s="90"/>
      <c r="H104" s="91"/>
      <c r="I104" s="91"/>
      <c r="J104" s="91"/>
      <c r="S104" s="92"/>
      <c r="AD104" s="93"/>
      <c r="AE104" s="93"/>
    </row>
    <row r="105" ht="13.5" customHeight="1">
      <c r="A105" s="90"/>
      <c r="H105" s="91"/>
      <c r="I105" s="91"/>
      <c r="J105" s="91"/>
      <c r="S105" s="92"/>
      <c r="AD105" s="93"/>
      <c r="AE105" s="93"/>
    </row>
    <row r="106" ht="13.5" customHeight="1">
      <c r="A106" s="90"/>
      <c r="H106" s="91"/>
      <c r="I106" s="91"/>
      <c r="J106" s="91"/>
      <c r="S106" s="92"/>
      <c r="AD106" s="93"/>
      <c r="AE106" s="93"/>
    </row>
    <row r="107" ht="13.5" customHeight="1">
      <c r="A107" s="90"/>
      <c r="H107" s="91"/>
      <c r="I107" s="91"/>
      <c r="J107" s="91"/>
      <c r="S107" s="92"/>
      <c r="AD107" s="93"/>
      <c r="AE107" s="93"/>
    </row>
    <row r="108" ht="13.5" customHeight="1">
      <c r="A108" s="90"/>
      <c r="H108" s="91"/>
      <c r="I108" s="91"/>
      <c r="J108" s="91"/>
      <c r="S108" s="92"/>
      <c r="AD108" s="93"/>
      <c r="AE108" s="93"/>
    </row>
    <row r="109" ht="13.5" customHeight="1">
      <c r="A109" s="90"/>
      <c r="H109" s="91"/>
      <c r="I109" s="91"/>
      <c r="J109" s="91"/>
      <c r="S109" s="92"/>
      <c r="AD109" s="93"/>
      <c r="AE109" s="93"/>
    </row>
    <row r="110" ht="13.5" customHeight="1">
      <c r="A110" s="90"/>
      <c r="H110" s="91"/>
      <c r="I110" s="91"/>
      <c r="J110" s="91"/>
      <c r="S110" s="92"/>
      <c r="AD110" s="93"/>
      <c r="AE110" s="93"/>
    </row>
    <row r="111" ht="13.5" customHeight="1">
      <c r="A111" s="90"/>
      <c r="H111" s="91"/>
      <c r="I111" s="91"/>
      <c r="J111" s="91"/>
      <c r="S111" s="92"/>
      <c r="AD111" s="93"/>
      <c r="AE111" s="93"/>
    </row>
    <row r="112" ht="13.5" customHeight="1">
      <c r="A112" s="90"/>
      <c r="H112" s="91"/>
      <c r="I112" s="91"/>
      <c r="J112" s="91"/>
      <c r="S112" s="92"/>
      <c r="AD112" s="93"/>
      <c r="AE112" s="93"/>
    </row>
    <row r="113" ht="13.5" customHeight="1">
      <c r="A113" s="90"/>
      <c r="H113" s="91"/>
      <c r="I113" s="91"/>
      <c r="J113" s="91"/>
      <c r="S113" s="92"/>
      <c r="AD113" s="93"/>
      <c r="AE113" s="93"/>
    </row>
    <row r="114" ht="13.5" customHeight="1">
      <c r="A114" s="90"/>
      <c r="H114" s="91"/>
      <c r="I114" s="91"/>
      <c r="J114" s="91"/>
      <c r="S114" s="92"/>
      <c r="AD114" s="93"/>
      <c r="AE114" s="93"/>
    </row>
    <row r="115" ht="13.5" customHeight="1">
      <c r="A115" s="90"/>
      <c r="H115" s="91"/>
      <c r="I115" s="91"/>
      <c r="J115" s="91"/>
      <c r="S115" s="92"/>
      <c r="AD115" s="93"/>
      <c r="AE115" s="93"/>
    </row>
    <row r="116" ht="13.5" customHeight="1">
      <c r="A116" s="90"/>
      <c r="H116" s="91"/>
      <c r="I116" s="91"/>
      <c r="J116" s="91"/>
      <c r="S116" s="92"/>
      <c r="AD116" s="93"/>
      <c r="AE116" s="93"/>
    </row>
    <row r="117" ht="13.5" customHeight="1">
      <c r="A117" s="90"/>
      <c r="H117" s="91"/>
      <c r="I117" s="91"/>
      <c r="J117" s="91"/>
      <c r="S117" s="92"/>
      <c r="AD117" s="93"/>
      <c r="AE117" s="93"/>
    </row>
    <row r="118" ht="13.5" customHeight="1">
      <c r="A118" s="90"/>
      <c r="H118" s="91"/>
      <c r="I118" s="91"/>
      <c r="J118" s="91"/>
      <c r="S118" s="92"/>
      <c r="AD118" s="93"/>
      <c r="AE118" s="93"/>
    </row>
    <row r="119" ht="13.5" customHeight="1">
      <c r="A119" s="90"/>
      <c r="H119" s="91"/>
      <c r="I119" s="91"/>
      <c r="J119" s="91"/>
      <c r="S119" s="92"/>
      <c r="AD119" s="93"/>
      <c r="AE119" s="93"/>
    </row>
    <row r="120" ht="13.5" customHeight="1">
      <c r="A120" s="90"/>
      <c r="H120" s="91"/>
      <c r="I120" s="91"/>
      <c r="J120" s="91"/>
      <c r="S120" s="92"/>
      <c r="AD120" s="93"/>
      <c r="AE120" s="93"/>
    </row>
    <row r="121" ht="13.5" customHeight="1">
      <c r="A121" s="90"/>
      <c r="H121" s="91"/>
      <c r="I121" s="91"/>
      <c r="J121" s="91"/>
      <c r="S121" s="92"/>
      <c r="AD121" s="93"/>
      <c r="AE121" s="93"/>
    </row>
    <row r="122" ht="13.5" customHeight="1">
      <c r="A122" s="90"/>
      <c r="H122" s="91"/>
      <c r="I122" s="91"/>
      <c r="J122" s="91"/>
      <c r="S122" s="92"/>
      <c r="AD122" s="93"/>
      <c r="AE122" s="93"/>
    </row>
    <row r="123" ht="13.5" customHeight="1">
      <c r="A123" s="90"/>
      <c r="H123" s="91"/>
      <c r="I123" s="91"/>
      <c r="J123" s="91"/>
      <c r="S123" s="92"/>
      <c r="AD123" s="93"/>
      <c r="AE123" s="93"/>
    </row>
    <row r="124" ht="13.5" customHeight="1">
      <c r="A124" s="90"/>
      <c r="H124" s="91"/>
      <c r="I124" s="91"/>
      <c r="J124" s="91"/>
      <c r="S124" s="92"/>
      <c r="AD124" s="93"/>
      <c r="AE124" s="93"/>
    </row>
    <row r="125" ht="13.5" customHeight="1">
      <c r="A125" s="90"/>
      <c r="H125" s="91"/>
      <c r="I125" s="91"/>
      <c r="J125" s="91"/>
      <c r="S125" s="92"/>
      <c r="AD125" s="93"/>
      <c r="AE125" s="93"/>
    </row>
    <row r="126" ht="13.5" customHeight="1">
      <c r="A126" s="90"/>
      <c r="H126" s="91"/>
      <c r="I126" s="91"/>
      <c r="J126" s="91"/>
      <c r="S126" s="92"/>
      <c r="AD126" s="93"/>
      <c r="AE126" s="93"/>
    </row>
    <row r="127" ht="13.5" customHeight="1">
      <c r="A127" s="90"/>
      <c r="H127" s="91"/>
      <c r="I127" s="91"/>
      <c r="J127" s="91"/>
      <c r="S127" s="92"/>
      <c r="AD127" s="93"/>
      <c r="AE127" s="93"/>
    </row>
    <row r="128" ht="13.5" customHeight="1">
      <c r="A128" s="90"/>
      <c r="H128" s="91"/>
      <c r="I128" s="91"/>
      <c r="J128" s="91"/>
      <c r="S128" s="92"/>
      <c r="AD128" s="93"/>
      <c r="AE128" s="93"/>
    </row>
    <row r="129" ht="13.5" customHeight="1">
      <c r="A129" s="90"/>
      <c r="H129" s="91"/>
      <c r="I129" s="91"/>
      <c r="J129" s="91"/>
      <c r="S129" s="92"/>
      <c r="AD129" s="93"/>
      <c r="AE129" s="93"/>
    </row>
    <row r="130" ht="13.5" customHeight="1">
      <c r="A130" s="90"/>
      <c r="H130" s="91"/>
      <c r="I130" s="91"/>
      <c r="J130" s="91"/>
      <c r="S130" s="92"/>
      <c r="AD130" s="93"/>
      <c r="AE130" s="93"/>
    </row>
    <row r="131" ht="13.5" customHeight="1">
      <c r="A131" s="90"/>
      <c r="H131" s="91"/>
      <c r="I131" s="91"/>
      <c r="J131" s="91"/>
      <c r="S131" s="92"/>
      <c r="AD131" s="93"/>
      <c r="AE131" s="93"/>
    </row>
    <row r="132" ht="13.5" customHeight="1">
      <c r="A132" s="90"/>
      <c r="H132" s="91"/>
      <c r="I132" s="91"/>
      <c r="J132" s="91"/>
      <c r="S132" s="92"/>
      <c r="AD132" s="93"/>
      <c r="AE132" s="93"/>
    </row>
    <row r="133" ht="13.5" customHeight="1">
      <c r="A133" s="90"/>
      <c r="H133" s="91"/>
      <c r="I133" s="91"/>
      <c r="J133" s="91"/>
      <c r="S133" s="92"/>
      <c r="AD133" s="93"/>
      <c r="AE133" s="93"/>
    </row>
    <row r="134" ht="13.5" customHeight="1">
      <c r="A134" s="90"/>
      <c r="H134" s="91"/>
      <c r="I134" s="91"/>
      <c r="J134" s="91"/>
      <c r="S134" s="92"/>
      <c r="AD134" s="93"/>
      <c r="AE134" s="93"/>
    </row>
    <row r="135" ht="13.5" customHeight="1">
      <c r="A135" s="90"/>
      <c r="H135" s="91"/>
      <c r="I135" s="91"/>
      <c r="J135" s="91"/>
      <c r="S135" s="92"/>
      <c r="AD135" s="93"/>
      <c r="AE135" s="93"/>
    </row>
    <row r="136" ht="13.5" customHeight="1">
      <c r="A136" s="90"/>
      <c r="H136" s="91"/>
      <c r="I136" s="91"/>
      <c r="J136" s="91"/>
      <c r="S136" s="92"/>
      <c r="AD136" s="93"/>
      <c r="AE136" s="93"/>
    </row>
    <row r="137" ht="13.5" customHeight="1">
      <c r="A137" s="90"/>
      <c r="H137" s="91"/>
      <c r="I137" s="91"/>
      <c r="J137" s="91"/>
      <c r="S137" s="92"/>
      <c r="AD137" s="93"/>
      <c r="AE137" s="93"/>
    </row>
    <row r="138" ht="13.5" customHeight="1">
      <c r="A138" s="90"/>
      <c r="H138" s="91"/>
      <c r="I138" s="91"/>
      <c r="J138" s="91"/>
      <c r="S138" s="92"/>
      <c r="AD138" s="93"/>
      <c r="AE138" s="93"/>
    </row>
    <row r="139" ht="13.5" customHeight="1">
      <c r="A139" s="90"/>
      <c r="H139" s="91"/>
      <c r="I139" s="91"/>
      <c r="J139" s="91"/>
      <c r="S139" s="92"/>
      <c r="AD139" s="93"/>
      <c r="AE139" s="93"/>
    </row>
    <row r="140" ht="13.5" customHeight="1">
      <c r="A140" s="90"/>
      <c r="H140" s="91"/>
      <c r="I140" s="91"/>
      <c r="J140" s="91"/>
      <c r="S140" s="92"/>
      <c r="AD140" s="93"/>
      <c r="AE140" s="93"/>
    </row>
    <row r="141" ht="13.5" customHeight="1">
      <c r="A141" s="90"/>
      <c r="H141" s="91"/>
      <c r="I141" s="91"/>
      <c r="J141" s="91"/>
      <c r="S141" s="92"/>
      <c r="AD141" s="93"/>
      <c r="AE141" s="93"/>
    </row>
    <row r="142" ht="13.5" customHeight="1">
      <c r="A142" s="90"/>
      <c r="H142" s="91"/>
      <c r="I142" s="91"/>
      <c r="J142" s="91"/>
      <c r="S142" s="92"/>
      <c r="AD142" s="93"/>
      <c r="AE142" s="93"/>
    </row>
    <row r="143" ht="13.5" customHeight="1">
      <c r="A143" s="90"/>
      <c r="H143" s="91"/>
      <c r="I143" s="91"/>
      <c r="J143" s="91"/>
      <c r="S143" s="92"/>
      <c r="AD143" s="93"/>
      <c r="AE143" s="93"/>
    </row>
    <row r="144" ht="13.5" customHeight="1">
      <c r="A144" s="90"/>
      <c r="H144" s="91"/>
      <c r="I144" s="91"/>
      <c r="J144" s="91"/>
      <c r="S144" s="92"/>
      <c r="AD144" s="93"/>
      <c r="AE144" s="93"/>
    </row>
    <row r="145" ht="13.5" customHeight="1">
      <c r="A145" s="90"/>
      <c r="H145" s="91"/>
      <c r="I145" s="91"/>
      <c r="J145" s="91"/>
      <c r="S145" s="92"/>
      <c r="AD145" s="93"/>
      <c r="AE145" s="93"/>
    </row>
    <row r="146" ht="13.5" customHeight="1">
      <c r="A146" s="90"/>
      <c r="H146" s="91"/>
      <c r="I146" s="91"/>
      <c r="J146" s="91"/>
      <c r="S146" s="92"/>
      <c r="AD146" s="93"/>
      <c r="AE146" s="93"/>
    </row>
    <row r="147" ht="13.5" customHeight="1">
      <c r="A147" s="90"/>
      <c r="H147" s="91"/>
      <c r="I147" s="91"/>
      <c r="J147" s="91"/>
      <c r="S147" s="92"/>
      <c r="AD147" s="93"/>
      <c r="AE147" s="93"/>
    </row>
    <row r="148" ht="13.5" customHeight="1">
      <c r="A148" s="90"/>
      <c r="H148" s="91"/>
      <c r="I148" s="91"/>
      <c r="J148" s="91"/>
      <c r="S148" s="92"/>
      <c r="AD148" s="93"/>
      <c r="AE148" s="93"/>
    </row>
    <row r="149" ht="13.5" customHeight="1">
      <c r="A149" s="90"/>
      <c r="H149" s="91"/>
      <c r="I149" s="91"/>
      <c r="J149" s="91"/>
      <c r="S149" s="92"/>
      <c r="AD149" s="93"/>
      <c r="AE149" s="93"/>
    </row>
    <row r="150" ht="13.5" customHeight="1">
      <c r="A150" s="90"/>
      <c r="H150" s="91"/>
      <c r="I150" s="91"/>
      <c r="J150" s="91"/>
      <c r="S150" s="92"/>
      <c r="AD150" s="93"/>
      <c r="AE150" s="93"/>
    </row>
    <row r="151" ht="13.5" customHeight="1">
      <c r="A151" s="90"/>
      <c r="H151" s="91"/>
      <c r="I151" s="91"/>
      <c r="J151" s="91"/>
      <c r="S151" s="92"/>
      <c r="AD151" s="93"/>
      <c r="AE151" s="93"/>
    </row>
    <row r="152" ht="13.5" customHeight="1">
      <c r="A152" s="90"/>
      <c r="H152" s="91"/>
      <c r="I152" s="91"/>
      <c r="J152" s="91"/>
      <c r="S152" s="92"/>
      <c r="AD152" s="93"/>
      <c r="AE152" s="93"/>
    </row>
    <row r="153" ht="13.5" customHeight="1">
      <c r="A153" s="90"/>
      <c r="H153" s="91"/>
      <c r="I153" s="91"/>
      <c r="J153" s="91"/>
      <c r="S153" s="92"/>
      <c r="AD153" s="93"/>
      <c r="AE153" s="93"/>
    </row>
    <row r="154" ht="13.5" customHeight="1">
      <c r="A154" s="90"/>
      <c r="H154" s="91"/>
      <c r="I154" s="91"/>
      <c r="J154" s="91"/>
      <c r="S154" s="92"/>
      <c r="AD154" s="93"/>
      <c r="AE154" s="93"/>
    </row>
    <row r="155" ht="13.5" customHeight="1">
      <c r="A155" s="90"/>
      <c r="H155" s="91"/>
      <c r="I155" s="91"/>
      <c r="J155" s="91"/>
      <c r="S155" s="92"/>
      <c r="AD155" s="93"/>
      <c r="AE155" s="93"/>
    </row>
    <row r="156" ht="13.5" customHeight="1">
      <c r="A156" s="90"/>
      <c r="H156" s="91"/>
      <c r="I156" s="91"/>
      <c r="J156" s="91"/>
      <c r="S156" s="92"/>
      <c r="AD156" s="93"/>
      <c r="AE156" s="93"/>
    </row>
    <row r="157" ht="13.5" customHeight="1">
      <c r="A157" s="90"/>
      <c r="H157" s="91"/>
      <c r="I157" s="91"/>
      <c r="J157" s="91"/>
      <c r="S157" s="92"/>
      <c r="AD157" s="93"/>
      <c r="AE157" s="93"/>
    </row>
    <row r="158" ht="13.5" customHeight="1">
      <c r="A158" s="90"/>
      <c r="H158" s="91"/>
      <c r="I158" s="91"/>
      <c r="J158" s="91"/>
      <c r="S158" s="92"/>
      <c r="AD158" s="93"/>
      <c r="AE158" s="93"/>
    </row>
    <row r="159" ht="13.5" customHeight="1">
      <c r="A159" s="90"/>
      <c r="H159" s="91"/>
      <c r="I159" s="91"/>
      <c r="J159" s="91"/>
      <c r="S159" s="92"/>
      <c r="AD159" s="93"/>
      <c r="AE159" s="93"/>
    </row>
    <row r="160" ht="13.5" customHeight="1">
      <c r="A160" s="90"/>
      <c r="H160" s="91"/>
      <c r="I160" s="91"/>
      <c r="J160" s="91"/>
      <c r="S160" s="92"/>
      <c r="AD160" s="93"/>
      <c r="AE160" s="93"/>
    </row>
    <row r="161" ht="13.5" customHeight="1">
      <c r="A161" s="90"/>
      <c r="H161" s="91"/>
      <c r="I161" s="91"/>
      <c r="J161" s="91"/>
      <c r="S161" s="92"/>
      <c r="AD161" s="93"/>
      <c r="AE161" s="93"/>
    </row>
    <row r="162" ht="13.5" customHeight="1">
      <c r="A162" s="90"/>
      <c r="H162" s="91"/>
      <c r="I162" s="91"/>
      <c r="J162" s="91"/>
      <c r="S162" s="92"/>
      <c r="AD162" s="93"/>
      <c r="AE162" s="93"/>
    </row>
    <row r="163" ht="13.5" customHeight="1">
      <c r="A163" s="90"/>
      <c r="H163" s="91"/>
      <c r="I163" s="91"/>
      <c r="J163" s="91"/>
      <c r="S163" s="92"/>
      <c r="AD163" s="93"/>
      <c r="AE163" s="93"/>
    </row>
    <row r="164" ht="13.5" customHeight="1">
      <c r="A164" s="90"/>
      <c r="H164" s="91"/>
      <c r="I164" s="91"/>
      <c r="J164" s="91"/>
      <c r="S164" s="92"/>
      <c r="AD164" s="93"/>
      <c r="AE164" s="93"/>
    </row>
    <row r="165" ht="13.5" customHeight="1">
      <c r="A165" s="90"/>
      <c r="H165" s="91"/>
      <c r="I165" s="91"/>
      <c r="J165" s="91"/>
      <c r="S165" s="92"/>
      <c r="AD165" s="93"/>
      <c r="AE165" s="93"/>
    </row>
    <row r="166" ht="13.5" customHeight="1">
      <c r="A166" s="90"/>
      <c r="H166" s="91"/>
      <c r="I166" s="91"/>
      <c r="J166" s="91"/>
      <c r="S166" s="92"/>
      <c r="AD166" s="93"/>
      <c r="AE166" s="93"/>
    </row>
    <row r="167" ht="13.5" customHeight="1">
      <c r="A167" s="90"/>
      <c r="H167" s="91"/>
      <c r="I167" s="91"/>
      <c r="J167" s="91"/>
      <c r="S167" s="92"/>
      <c r="AD167" s="93"/>
      <c r="AE167" s="93"/>
    </row>
    <row r="168" ht="13.5" customHeight="1">
      <c r="A168" s="90"/>
      <c r="H168" s="91"/>
      <c r="I168" s="91"/>
      <c r="J168" s="91"/>
      <c r="S168" s="92"/>
      <c r="AD168" s="93"/>
      <c r="AE168" s="93"/>
    </row>
    <row r="169" ht="13.5" customHeight="1">
      <c r="A169" s="90"/>
      <c r="H169" s="91"/>
      <c r="I169" s="91"/>
      <c r="J169" s="91"/>
      <c r="S169" s="92"/>
      <c r="AD169" s="93"/>
      <c r="AE169" s="93"/>
    </row>
    <row r="170" ht="13.5" customHeight="1">
      <c r="A170" s="90"/>
      <c r="H170" s="91"/>
      <c r="I170" s="91"/>
      <c r="J170" s="91"/>
      <c r="S170" s="92"/>
      <c r="AD170" s="93"/>
      <c r="AE170" s="93"/>
    </row>
    <row r="171" ht="13.5" customHeight="1">
      <c r="A171" s="90"/>
      <c r="H171" s="91"/>
      <c r="I171" s="91"/>
      <c r="J171" s="91"/>
      <c r="S171" s="92"/>
      <c r="AD171" s="93"/>
      <c r="AE171" s="93"/>
    </row>
    <row r="172" ht="13.5" customHeight="1">
      <c r="A172" s="90"/>
      <c r="H172" s="91"/>
      <c r="I172" s="91"/>
      <c r="J172" s="91"/>
      <c r="S172" s="92"/>
      <c r="AD172" s="93"/>
      <c r="AE172" s="93"/>
    </row>
    <row r="173" ht="13.5" customHeight="1">
      <c r="A173" s="90"/>
      <c r="H173" s="91"/>
      <c r="I173" s="91"/>
      <c r="J173" s="91"/>
      <c r="S173" s="92"/>
      <c r="AD173" s="93"/>
      <c r="AE173" s="93"/>
    </row>
    <row r="174" ht="13.5" customHeight="1">
      <c r="A174" s="90"/>
      <c r="H174" s="91"/>
      <c r="I174" s="91"/>
      <c r="J174" s="91"/>
      <c r="S174" s="92"/>
      <c r="AD174" s="93"/>
      <c r="AE174" s="93"/>
    </row>
    <row r="175" ht="13.5" customHeight="1">
      <c r="A175" s="90"/>
      <c r="H175" s="91"/>
      <c r="I175" s="91"/>
      <c r="J175" s="91"/>
      <c r="S175" s="92"/>
      <c r="AD175" s="93"/>
      <c r="AE175" s="93"/>
    </row>
    <row r="176" ht="13.5" customHeight="1">
      <c r="A176" s="90"/>
      <c r="H176" s="91"/>
      <c r="I176" s="91"/>
      <c r="J176" s="91"/>
      <c r="S176" s="92"/>
      <c r="AD176" s="93"/>
      <c r="AE176" s="93"/>
    </row>
    <row r="177" ht="13.5" customHeight="1">
      <c r="A177" s="90"/>
      <c r="H177" s="91"/>
      <c r="I177" s="91"/>
      <c r="J177" s="91"/>
      <c r="S177" s="92"/>
      <c r="AD177" s="93"/>
      <c r="AE177" s="93"/>
    </row>
    <row r="178" ht="13.5" customHeight="1">
      <c r="A178" s="90"/>
      <c r="H178" s="91"/>
      <c r="I178" s="91"/>
      <c r="J178" s="91"/>
      <c r="S178" s="92"/>
      <c r="AD178" s="93"/>
      <c r="AE178" s="93"/>
    </row>
    <row r="179" ht="13.5" customHeight="1">
      <c r="A179" s="90"/>
      <c r="H179" s="91"/>
      <c r="I179" s="91"/>
      <c r="J179" s="91"/>
      <c r="S179" s="92"/>
      <c r="AD179" s="93"/>
      <c r="AE179" s="93"/>
    </row>
    <row r="180" ht="13.5" customHeight="1">
      <c r="A180" s="90"/>
      <c r="H180" s="91"/>
      <c r="I180" s="91"/>
      <c r="J180" s="91"/>
      <c r="S180" s="92"/>
      <c r="AD180" s="93"/>
      <c r="AE180" s="93"/>
    </row>
    <row r="181" ht="13.5" customHeight="1">
      <c r="A181" s="90"/>
      <c r="H181" s="91"/>
      <c r="I181" s="91"/>
      <c r="J181" s="91"/>
      <c r="S181" s="92"/>
      <c r="AD181" s="93"/>
      <c r="AE181" s="93"/>
    </row>
    <row r="182" ht="13.5" customHeight="1">
      <c r="A182" s="90"/>
      <c r="H182" s="91"/>
      <c r="I182" s="91"/>
      <c r="J182" s="91"/>
      <c r="S182" s="92"/>
      <c r="AD182" s="93"/>
      <c r="AE182" s="93"/>
    </row>
    <row r="183" ht="13.5" customHeight="1">
      <c r="A183" s="90"/>
      <c r="H183" s="91"/>
      <c r="I183" s="91"/>
      <c r="J183" s="91"/>
      <c r="S183" s="92"/>
      <c r="AD183" s="93"/>
      <c r="AE183" s="93"/>
    </row>
    <row r="184" ht="13.5" customHeight="1">
      <c r="A184" s="90"/>
      <c r="H184" s="91"/>
      <c r="I184" s="91"/>
      <c r="J184" s="91"/>
      <c r="S184" s="92"/>
      <c r="AD184" s="93"/>
      <c r="AE184" s="93"/>
    </row>
    <row r="185" ht="13.5" customHeight="1">
      <c r="A185" s="90"/>
      <c r="H185" s="91"/>
      <c r="I185" s="91"/>
      <c r="J185" s="91"/>
      <c r="S185" s="92"/>
      <c r="AD185" s="93"/>
      <c r="AE185" s="93"/>
    </row>
    <row r="186" ht="13.5" customHeight="1">
      <c r="A186" s="90"/>
      <c r="H186" s="91"/>
      <c r="I186" s="91"/>
      <c r="J186" s="91"/>
      <c r="S186" s="92"/>
      <c r="AD186" s="93"/>
      <c r="AE186" s="93"/>
    </row>
    <row r="187" ht="13.5" customHeight="1">
      <c r="A187" s="90"/>
      <c r="H187" s="91"/>
      <c r="I187" s="91"/>
      <c r="J187" s="91"/>
      <c r="S187" s="92"/>
      <c r="AD187" s="93"/>
      <c r="AE187" s="93"/>
    </row>
    <row r="188" ht="13.5" customHeight="1">
      <c r="A188" s="90"/>
      <c r="H188" s="91"/>
      <c r="I188" s="91"/>
      <c r="J188" s="91"/>
      <c r="S188" s="92"/>
      <c r="AD188" s="93"/>
      <c r="AE188" s="93"/>
    </row>
    <row r="189" ht="13.5" customHeight="1">
      <c r="A189" s="90"/>
      <c r="H189" s="91"/>
      <c r="I189" s="91"/>
      <c r="J189" s="91"/>
      <c r="S189" s="92"/>
      <c r="AD189" s="93"/>
      <c r="AE189" s="93"/>
    </row>
    <row r="190" ht="13.5" customHeight="1">
      <c r="A190" s="90"/>
      <c r="H190" s="91"/>
      <c r="I190" s="91"/>
      <c r="J190" s="91"/>
      <c r="S190" s="92"/>
      <c r="AD190" s="93"/>
      <c r="AE190" s="93"/>
    </row>
    <row r="191" ht="13.5" customHeight="1">
      <c r="A191" s="90"/>
      <c r="H191" s="91"/>
      <c r="I191" s="91"/>
      <c r="J191" s="91"/>
      <c r="S191" s="92"/>
      <c r="AD191" s="93"/>
      <c r="AE191" s="93"/>
    </row>
    <row r="192" ht="13.5" customHeight="1">
      <c r="A192" s="90"/>
      <c r="H192" s="91"/>
      <c r="I192" s="91"/>
      <c r="J192" s="91"/>
      <c r="S192" s="92"/>
      <c r="AD192" s="93"/>
      <c r="AE192" s="93"/>
    </row>
    <row r="193" ht="13.5" customHeight="1">
      <c r="A193" s="90"/>
      <c r="H193" s="91"/>
      <c r="I193" s="91"/>
      <c r="J193" s="91"/>
      <c r="S193" s="92"/>
      <c r="AD193" s="93"/>
      <c r="AE193" s="93"/>
    </row>
    <row r="194" ht="13.5" customHeight="1">
      <c r="A194" s="90"/>
      <c r="H194" s="91"/>
      <c r="I194" s="91"/>
      <c r="J194" s="91"/>
      <c r="S194" s="92"/>
      <c r="AD194" s="93"/>
      <c r="AE194" s="93"/>
    </row>
    <row r="195" ht="13.5" customHeight="1">
      <c r="A195" s="90"/>
      <c r="H195" s="91"/>
      <c r="I195" s="91"/>
      <c r="J195" s="91"/>
      <c r="S195" s="92"/>
      <c r="AD195" s="93"/>
      <c r="AE195" s="93"/>
    </row>
    <row r="196" ht="13.5" customHeight="1">
      <c r="A196" s="90"/>
      <c r="H196" s="91"/>
      <c r="I196" s="91"/>
      <c r="J196" s="91"/>
      <c r="S196" s="92"/>
      <c r="AD196" s="93"/>
      <c r="AE196" s="93"/>
    </row>
    <row r="197" ht="13.5" customHeight="1">
      <c r="A197" s="90"/>
      <c r="H197" s="91"/>
      <c r="I197" s="91"/>
      <c r="J197" s="91"/>
      <c r="S197" s="92"/>
      <c r="AD197" s="93"/>
      <c r="AE197" s="93"/>
    </row>
    <row r="198" ht="13.5" customHeight="1">
      <c r="A198" s="90"/>
      <c r="H198" s="91"/>
      <c r="I198" s="91"/>
      <c r="J198" s="91"/>
      <c r="S198" s="92"/>
      <c r="AD198" s="93"/>
      <c r="AE198" s="93"/>
    </row>
    <row r="199" ht="13.5" customHeight="1">
      <c r="A199" s="90"/>
      <c r="H199" s="91"/>
      <c r="I199" s="91"/>
      <c r="J199" s="91"/>
      <c r="S199" s="92"/>
      <c r="AD199" s="93"/>
      <c r="AE199" s="93"/>
    </row>
    <row r="200" ht="13.5" customHeight="1">
      <c r="A200" s="90"/>
      <c r="H200" s="91"/>
      <c r="I200" s="91"/>
      <c r="J200" s="91"/>
      <c r="S200" s="92"/>
      <c r="AD200" s="93"/>
      <c r="AE200" s="93"/>
    </row>
    <row r="201" ht="13.5" customHeight="1">
      <c r="A201" s="90"/>
      <c r="H201" s="91"/>
      <c r="I201" s="91"/>
      <c r="J201" s="91"/>
      <c r="S201" s="92"/>
      <c r="AD201" s="93"/>
      <c r="AE201" s="93"/>
    </row>
    <row r="202" ht="13.5" customHeight="1">
      <c r="A202" s="90"/>
      <c r="H202" s="91"/>
      <c r="I202" s="91"/>
      <c r="J202" s="91"/>
      <c r="S202" s="92"/>
      <c r="AD202" s="93"/>
      <c r="AE202" s="93"/>
    </row>
    <row r="203" ht="13.5" customHeight="1">
      <c r="A203" s="90"/>
      <c r="H203" s="91"/>
      <c r="I203" s="91"/>
      <c r="J203" s="91"/>
      <c r="S203" s="92"/>
      <c r="AD203" s="93"/>
      <c r="AE203" s="93"/>
    </row>
    <row r="204" ht="13.5" customHeight="1">
      <c r="A204" s="90"/>
      <c r="H204" s="91"/>
      <c r="I204" s="91"/>
      <c r="J204" s="91"/>
      <c r="S204" s="92"/>
      <c r="AD204" s="93"/>
      <c r="AE204" s="93"/>
    </row>
    <row r="205" ht="13.5" customHeight="1">
      <c r="A205" s="90"/>
      <c r="H205" s="91"/>
      <c r="I205" s="91"/>
      <c r="J205" s="91"/>
      <c r="S205" s="92"/>
      <c r="AD205" s="93"/>
      <c r="AE205" s="93"/>
    </row>
    <row r="206" ht="13.5" customHeight="1">
      <c r="A206" s="90"/>
      <c r="H206" s="91"/>
      <c r="I206" s="91"/>
      <c r="J206" s="91"/>
      <c r="S206" s="92"/>
      <c r="AD206" s="93"/>
      <c r="AE206" s="93"/>
    </row>
    <row r="207" ht="13.5" customHeight="1">
      <c r="A207" s="90"/>
      <c r="H207" s="91"/>
      <c r="I207" s="91"/>
      <c r="J207" s="91"/>
      <c r="S207" s="92"/>
      <c r="AD207" s="93"/>
      <c r="AE207" s="93"/>
    </row>
    <row r="208" ht="13.5" customHeight="1">
      <c r="A208" s="90"/>
      <c r="H208" s="91"/>
      <c r="I208" s="91"/>
      <c r="J208" s="91"/>
      <c r="S208" s="92"/>
      <c r="AD208" s="93"/>
      <c r="AE208" s="93"/>
    </row>
    <row r="209" ht="13.5" customHeight="1">
      <c r="A209" s="90"/>
      <c r="H209" s="91"/>
      <c r="I209" s="91"/>
      <c r="J209" s="91"/>
      <c r="S209" s="92"/>
      <c r="AD209" s="93"/>
      <c r="AE209" s="93"/>
    </row>
    <row r="210" ht="13.5" customHeight="1">
      <c r="A210" s="90"/>
      <c r="H210" s="91"/>
      <c r="I210" s="91"/>
      <c r="J210" s="91"/>
      <c r="S210" s="92"/>
      <c r="AD210" s="93"/>
      <c r="AE210" s="93"/>
    </row>
    <row r="211" ht="13.5" customHeight="1">
      <c r="A211" s="90"/>
      <c r="H211" s="91"/>
      <c r="I211" s="91"/>
      <c r="J211" s="91"/>
      <c r="S211" s="92"/>
      <c r="AD211" s="93"/>
      <c r="AE211" s="93"/>
    </row>
    <row r="212" ht="13.5" customHeight="1">
      <c r="A212" s="90"/>
      <c r="H212" s="91"/>
      <c r="I212" s="91"/>
      <c r="J212" s="91"/>
      <c r="S212" s="92"/>
      <c r="AD212" s="93"/>
      <c r="AE212" s="93"/>
    </row>
    <row r="213" ht="13.5" customHeight="1">
      <c r="A213" s="90"/>
      <c r="H213" s="91"/>
      <c r="I213" s="91"/>
      <c r="J213" s="91"/>
      <c r="S213" s="92"/>
      <c r="AD213" s="93"/>
      <c r="AE213" s="93"/>
    </row>
    <row r="214" ht="13.5" customHeight="1">
      <c r="A214" s="90"/>
      <c r="H214" s="91"/>
      <c r="I214" s="91"/>
      <c r="J214" s="91"/>
      <c r="S214" s="92"/>
      <c r="AD214" s="93"/>
      <c r="AE214" s="93"/>
    </row>
    <row r="215" ht="13.5" customHeight="1">
      <c r="A215" s="90"/>
      <c r="H215" s="91"/>
      <c r="I215" s="91"/>
      <c r="J215" s="91"/>
      <c r="S215" s="92"/>
      <c r="AD215" s="93"/>
      <c r="AE215" s="93"/>
    </row>
    <row r="216" ht="13.5" customHeight="1">
      <c r="A216" s="90"/>
      <c r="H216" s="91"/>
      <c r="I216" s="91"/>
      <c r="J216" s="91"/>
      <c r="S216" s="92"/>
      <c r="AD216" s="93"/>
      <c r="AE216" s="93"/>
    </row>
    <row r="217" ht="13.5" customHeight="1">
      <c r="A217" s="90"/>
      <c r="H217" s="91"/>
      <c r="I217" s="91"/>
      <c r="J217" s="91"/>
      <c r="S217" s="92"/>
      <c r="AD217" s="93"/>
      <c r="AE217" s="93"/>
    </row>
    <row r="218" ht="13.5" customHeight="1">
      <c r="A218" s="90"/>
      <c r="H218" s="91"/>
      <c r="I218" s="91"/>
      <c r="J218" s="91"/>
      <c r="S218" s="92"/>
      <c r="AD218" s="93"/>
      <c r="AE218" s="93"/>
    </row>
    <row r="219" ht="13.5" customHeight="1">
      <c r="A219" s="90"/>
      <c r="H219" s="91"/>
      <c r="I219" s="91"/>
      <c r="J219" s="91"/>
      <c r="S219" s="92"/>
      <c r="AD219" s="93"/>
      <c r="AE219" s="93"/>
    </row>
    <row r="220" ht="13.5" customHeight="1">
      <c r="A220" s="90"/>
      <c r="H220" s="91"/>
      <c r="I220" s="91"/>
      <c r="J220" s="91"/>
      <c r="S220" s="92"/>
      <c r="AD220" s="93"/>
      <c r="AE220" s="93"/>
    </row>
    <row r="221" ht="13.5" customHeight="1">
      <c r="A221" s="90"/>
      <c r="H221" s="91"/>
      <c r="I221" s="91"/>
      <c r="J221" s="91"/>
      <c r="S221" s="92"/>
      <c r="AD221" s="93"/>
      <c r="AE221" s="93"/>
    </row>
    <row r="222" ht="13.5" customHeight="1">
      <c r="A222" s="90"/>
      <c r="H222" s="91"/>
      <c r="I222" s="91"/>
      <c r="J222" s="91"/>
      <c r="S222" s="92"/>
      <c r="AD222" s="93"/>
      <c r="AE222" s="93"/>
    </row>
    <row r="223" ht="13.5" customHeight="1">
      <c r="A223" s="90"/>
      <c r="H223" s="91"/>
      <c r="I223" s="91"/>
      <c r="J223" s="91"/>
      <c r="S223" s="92"/>
      <c r="AD223" s="93"/>
      <c r="AE223" s="93"/>
    </row>
    <row r="224" ht="13.5" customHeight="1">
      <c r="A224" s="90"/>
      <c r="H224" s="91"/>
      <c r="I224" s="91"/>
      <c r="J224" s="91"/>
      <c r="S224" s="92"/>
      <c r="AD224" s="93"/>
      <c r="AE224" s="93"/>
    </row>
    <row r="225" ht="13.5" customHeight="1">
      <c r="A225" s="90"/>
      <c r="H225" s="91"/>
      <c r="I225" s="91"/>
      <c r="J225" s="91"/>
      <c r="S225" s="92"/>
      <c r="AD225" s="93"/>
      <c r="AE225" s="93"/>
    </row>
    <row r="226" ht="13.5" customHeight="1">
      <c r="A226" s="90"/>
      <c r="H226" s="91"/>
      <c r="I226" s="91"/>
      <c r="J226" s="91"/>
      <c r="S226" s="92"/>
      <c r="AD226" s="93"/>
      <c r="AE226" s="93"/>
    </row>
    <row r="227" ht="13.5" customHeight="1">
      <c r="A227" s="90"/>
      <c r="H227" s="91"/>
      <c r="I227" s="91"/>
      <c r="J227" s="91"/>
      <c r="S227" s="92"/>
      <c r="AD227" s="93"/>
      <c r="AE227" s="93"/>
    </row>
    <row r="228" ht="13.5" customHeight="1">
      <c r="A228" s="90"/>
      <c r="H228" s="91"/>
      <c r="I228" s="91"/>
      <c r="J228" s="91"/>
      <c r="S228" s="92"/>
      <c r="AD228" s="93"/>
      <c r="AE228" s="93"/>
    </row>
    <row r="229" ht="13.5" customHeight="1">
      <c r="A229" s="90"/>
      <c r="H229" s="91"/>
      <c r="I229" s="91"/>
      <c r="J229" s="91"/>
      <c r="S229" s="92"/>
      <c r="AD229" s="93"/>
      <c r="AE229" s="93"/>
    </row>
    <row r="230" ht="13.5" customHeight="1">
      <c r="A230" s="90"/>
      <c r="H230" s="91"/>
      <c r="I230" s="91"/>
      <c r="J230" s="91"/>
      <c r="S230" s="92"/>
      <c r="AD230" s="93"/>
      <c r="AE230" s="93"/>
    </row>
    <row r="231" ht="13.5" customHeight="1">
      <c r="A231" s="90"/>
      <c r="H231" s="91"/>
      <c r="I231" s="91"/>
      <c r="J231" s="91"/>
      <c r="S231" s="92"/>
      <c r="AD231" s="93"/>
      <c r="AE231" s="93"/>
    </row>
    <row r="232" ht="13.5" customHeight="1">
      <c r="A232" s="90"/>
      <c r="H232" s="91"/>
      <c r="I232" s="91"/>
      <c r="J232" s="91"/>
      <c r="S232" s="92"/>
      <c r="AD232" s="93"/>
      <c r="AE232" s="93"/>
    </row>
    <row r="233" ht="13.5" customHeight="1">
      <c r="A233" s="90"/>
      <c r="H233" s="91"/>
      <c r="I233" s="91"/>
      <c r="J233" s="91"/>
      <c r="S233" s="92"/>
      <c r="AD233" s="93"/>
      <c r="AE233" s="93"/>
    </row>
    <row r="234" ht="13.5" customHeight="1">
      <c r="A234" s="90"/>
      <c r="H234" s="91"/>
      <c r="I234" s="91"/>
      <c r="J234" s="91"/>
      <c r="S234" s="92"/>
      <c r="AD234" s="93"/>
      <c r="AE234" s="93"/>
    </row>
    <row r="235" ht="13.5" customHeight="1">
      <c r="A235" s="90"/>
      <c r="H235" s="91"/>
      <c r="I235" s="91"/>
      <c r="J235" s="91"/>
      <c r="S235" s="92"/>
      <c r="AD235" s="93"/>
      <c r="AE235" s="93"/>
    </row>
    <row r="236" ht="13.5" customHeight="1">
      <c r="A236" s="90"/>
      <c r="H236" s="91"/>
      <c r="I236" s="91"/>
      <c r="J236" s="91"/>
      <c r="S236" s="92"/>
      <c r="AD236" s="93"/>
      <c r="AE236" s="93"/>
    </row>
    <row r="237" ht="13.5" customHeight="1">
      <c r="A237" s="90"/>
      <c r="H237" s="91"/>
      <c r="I237" s="91"/>
      <c r="J237" s="91"/>
      <c r="S237" s="92"/>
      <c r="AD237" s="93"/>
      <c r="AE237" s="93"/>
    </row>
    <row r="238" ht="13.5" customHeight="1">
      <c r="A238" s="90"/>
      <c r="H238" s="91"/>
      <c r="I238" s="91"/>
      <c r="J238" s="91"/>
      <c r="S238" s="92"/>
      <c r="AD238" s="93"/>
      <c r="AE238" s="93"/>
    </row>
    <row r="239" ht="13.5" customHeight="1">
      <c r="A239" s="90"/>
      <c r="H239" s="91"/>
      <c r="I239" s="91"/>
      <c r="J239" s="91"/>
      <c r="S239" s="92"/>
      <c r="AD239" s="93"/>
      <c r="AE239" s="93"/>
    </row>
    <row r="240" ht="13.5" customHeight="1">
      <c r="A240" s="90"/>
      <c r="H240" s="91"/>
      <c r="I240" s="91"/>
      <c r="J240" s="91"/>
      <c r="S240" s="92"/>
      <c r="AD240" s="93"/>
      <c r="AE240" s="93"/>
    </row>
    <row r="241" ht="13.5" customHeight="1">
      <c r="A241" s="90"/>
      <c r="H241" s="91"/>
      <c r="I241" s="91"/>
      <c r="J241" s="91"/>
      <c r="S241" s="92"/>
      <c r="AD241" s="93"/>
      <c r="AE241" s="93"/>
    </row>
    <row r="242" ht="13.5" customHeight="1">
      <c r="A242" s="90"/>
      <c r="H242" s="91"/>
      <c r="I242" s="91"/>
      <c r="J242" s="91"/>
      <c r="S242" s="92"/>
      <c r="AD242" s="93"/>
      <c r="AE242" s="93"/>
    </row>
    <row r="243" ht="13.5" customHeight="1">
      <c r="A243" s="90"/>
      <c r="H243" s="91"/>
      <c r="I243" s="91"/>
      <c r="J243" s="91"/>
      <c r="S243" s="92"/>
      <c r="AD243" s="93"/>
      <c r="AE243" s="93"/>
    </row>
    <row r="244" ht="13.5" customHeight="1">
      <c r="A244" s="90"/>
      <c r="H244" s="91"/>
      <c r="I244" s="91"/>
      <c r="J244" s="91"/>
      <c r="S244" s="92"/>
      <c r="AD244" s="93"/>
      <c r="AE244" s="93"/>
    </row>
    <row r="245" ht="13.5" customHeight="1">
      <c r="A245" s="90"/>
      <c r="H245" s="91"/>
      <c r="I245" s="91"/>
      <c r="J245" s="91"/>
      <c r="S245" s="92"/>
      <c r="AD245" s="93"/>
      <c r="AE245" s="93"/>
    </row>
    <row r="246" ht="13.5" customHeight="1">
      <c r="A246" s="90"/>
      <c r="H246" s="91"/>
      <c r="I246" s="91"/>
      <c r="J246" s="91"/>
      <c r="S246" s="92"/>
      <c r="AD246" s="93"/>
      <c r="AE246" s="93"/>
    </row>
    <row r="247" ht="13.5" customHeight="1">
      <c r="A247" s="90"/>
      <c r="H247" s="91"/>
      <c r="I247" s="91"/>
      <c r="J247" s="91"/>
      <c r="S247" s="92"/>
      <c r="AD247" s="93"/>
      <c r="AE247" s="93"/>
    </row>
    <row r="248" ht="13.5" customHeight="1">
      <c r="A248" s="90"/>
      <c r="H248" s="91"/>
      <c r="I248" s="91"/>
      <c r="J248" s="91"/>
      <c r="S248" s="92"/>
      <c r="AD248" s="93"/>
      <c r="AE248" s="93"/>
    </row>
    <row r="249" ht="13.5" customHeight="1">
      <c r="A249" s="90"/>
      <c r="H249" s="91"/>
      <c r="I249" s="91"/>
      <c r="J249" s="91"/>
      <c r="S249" s="92"/>
      <c r="AD249" s="93"/>
      <c r="AE249" s="93"/>
    </row>
    <row r="250" ht="13.5" customHeight="1">
      <c r="A250" s="90"/>
      <c r="H250" s="91"/>
      <c r="I250" s="91"/>
      <c r="J250" s="91"/>
      <c r="S250" s="92"/>
      <c r="AD250" s="93"/>
      <c r="AE250" s="93"/>
    </row>
    <row r="251" ht="13.5" customHeight="1">
      <c r="A251" s="90"/>
      <c r="H251" s="91"/>
      <c r="I251" s="91"/>
      <c r="J251" s="91"/>
      <c r="S251" s="92"/>
      <c r="AD251" s="93"/>
      <c r="AE251" s="93"/>
    </row>
    <row r="252" ht="13.5" customHeight="1">
      <c r="A252" s="90"/>
      <c r="H252" s="91"/>
      <c r="I252" s="91"/>
      <c r="J252" s="91"/>
      <c r="S252" s="92"/>
      <c r="AD252" s="93"/>
      <c r="AE252" s="93"/>
    </row>
    <row r="253" ht="13.5" customHeight="1">
      <c r="A253" s="90"/>
      <c r="H253" s="91"/>
      <c r="I253" s="91"/>
      <c r="J253" s="91"/>
      <c r="S253" s="92"/>
      <c r="AD253" s="93"/>
      <c r="AE253" s="93"/>
    </row>
    <row r="254" ht="13.5" customHeight="1">
      <c r="A254" s="90"/>
      <c r="H254" s="91"/>
      <c r="I254" s="91"/>
      <c r="J254" s="91"/>
      <c r="S254" s="92"/>
      <c r="AD254" s="93"/>
      <c r="AE254" s="93"/>
    </row>
    <row r="255" ht="13.5" customHeight="1">
      <c r="A255" s="90"/>
      <c r="H255" s="91"/>
      <c r="I255" s="91"/>
      <c r="J255" s="91"/>
      <c r="S255" s="92"/>
      <c r="AD255" s="93"/>
      <c r="AE255" s="93"/>
    </row>
    <row r="256" ht="13.5" customHeight="1">
      <c r="A256" s="90"/>
      <c r="H256" s="91"/>
      <c r="I256" s="91"/>
      <c r="J256" s="91"/>
      <c r="S256" s="92"/>
      <c r="AD256" s="93"/>
      <c r="AE256" s="93"/>
    </row>
    <row r="257" ht="13.5" customHeight="1">
      <c r="A257" s="90"/>
      <c r="H257" s="91"/>
      <c r="I257" s="91"/>
      <c r="J257" s="91"/>
      <c r="S257" s="92"/>
      <c r="AD257" s="93"/>
      <c r="AE257" s="93"/>
    </row>
    <row r="258" ht="13.5" customHeight="1">
      <c r="A258" s="90"/>
      <c r="H258" s="91"/>
      <c r="I258" s="91"/>
      <c r="J258" s="91"/>
      <c r="S258" s="92"/>
      <c r="AD258" s="93"/>
      <c r="AE258" s="93"/>
    </row>
    <row r="259" ht="13.5" customHeight="1">
      <c r="A259" s="90"/>
      <c r="H259" s="91"/>
      <c r="I259" s="91"/>
      <c r="J259" s="91"/>
      <c r="S259" s="92"/>
      <c r="AD259" s="93"/>
      <c r="AE259" s="93"/>
    </row>
    <row r="260" ht="13.5" customHeight="1">
      <c r="A260" s="90"/>
      <c r="H260" s="91"/>
      <c r="I260" s="91"/>
      <c r="J260" s="91"/>
      <c r="S260" s="92"/>
      <c r="AD260" s="93"/>
      <c r="AE260" s="93"/>
    </row>
    <row r="261" ht="13.5" customHeight="1">
      <c r="A261" s="90"/>
      <c r="H261" s="91"/>
      <c r="I261" s="91"/>
      <c r="J261" s="91"/>
      <c r="S261" s="92"/>
      <c r="AD261" s="93"/>
      <c r="AE261" s="93"/>
    </row>
    <row r="262" ht="13.5" customHeight="1">
      <c r="A262" s="90"/>
      <c r="H262" s="91"/>
      <c r="I262" s="91"/>
      <c r="J262" s="91"/>
      <c r="S262" s="92"/>
      <c r="AD262" s="93"/>
      <c r="AE262" s="93"/>
    </row>
    <row r="263" ht="13.5" customHeight="1">
      <c r="A263" s="90"/>
      <c r="H263" s="91"/>
      <c r="I263" s="91"/>
      <c r="J263" s="91"/>
      <c r="S263" s="92"/>
      <c r="AD263" s="93"/>
      <c r="AE263" s="93"/>
    </row>
    <row r="264" ht="13.5" customHeight="1">
      <c r="A264" s="90"/>
      <c r="H264" s="91"/>
      <c r="I264" s="91"/>
      <c r="J264" s="91"/>
      <c r="S264" s="92"/>
      <c r="AD264" s="93"/>
      <c r="AE264" s="93"/>
    </row>
    <row r="265" ht="13.5" customHeight="1">
      <c r="A265" s="90"/>
      <c r="H265" s="91"/>
      <c r="I265" s="91"/>
      <c r="J265" s="91"/>
      <c r="S265" s="92"/>
      <c r="AD265" s="93"/>
      <c r="AE265" s="93"/>
    </row>
    <row r="266" ht="13.5" customHeight="1">
      <c r="A266" s="90"/>
      <c r="H266" s="91"/>
      <c r="I266" s="91"/>
      <c r="J266" s="91"/>
      <c r="S266" s="92"/>
      <c r="AD266" s="93"/>
      <c r="AE266" s="93"/>
    </row>
    <row r="267" ht="13.5" customHeight="1">
      <c r="A267" s="90"/>
      <c r="H267" s="91"/>
      <c r="I267" s="91"/>
      <c r="J267" s="91"/>
      <c r="S267" s="92"/>
      <c r="AD267" s="93"/>
      <c r="AE267" s="93"/>
    </row>
    <row r="268" ht="13.5" customHeight="1">
      <c r="A268" s="90"/>
      <c r="H268" s="91"/>
      <c r="I268" s="91"/>
      <c r="J268" s="91"/>
      <c r="S268" s="92"/>
      <c r="AD268" s="93"/>
      <c r="AE268" s="93"/>
    </row>
    <row r="269" ht="13.5" customHeight="1">
      <c r="A269" s="90"/>
      <c r="H269" s="91"/>
      <c r="I269" s="91"/>
      <c r="J269" s="91"/>
      <c r="S269" s="92"/>
      <c r="AD269" s="93"/>
      <c r="AE269" s="93"/>
    </row>
    <row r="270" ht="13.5" customHeight="1">
      <c r="A270" s="90"/>
      <c r="H270" s="91"/>
      <c r="I270" s="91"/>
      <c r="J270" s="91"/>
      <c r="S270" s="92"/>
      <c r="AD270" s="93"/>
      <c r="AE270" s="93"/>
    </row>
    <row r="271" ht="13.5" customHeight="1">
      <c r="A271" s="90"/>
      <c r="H271" s="91"/>
      <c r="I271" s="91"/>
      <c r="J271" s="91"/>
      <c r="S271" s="92"/>
      <c r="AD271" s="93"/>
      <c r="AE271" s="93"/>
    </row>
    <row r="272" ht="13.5" customHeight="1">
      <c r="A272" s="90"/>
      <c r="H272" s="91"/>
      <c r="I272" s="91"/>
      <c r="J272" s="91"/>
      <c r="S272" s="92"/>
      <c r="AD272" s="93"/>
      <c r="AE272" s="93"/>
    </row>
    <row r="273" ht="13.5" customHeight="1">
      <c r="A273" s="90"/>
      <c r="H273" s="91"/>
      <c r="I273" s="91"/>
      <c r="J273" s="91"/>
      <c r="S273" s="92"/>
      <c r="AD273" s="93"/>
      <c r="AE273" s="93"/>
    </row>
    <row r="274" ht="13.5" customHeight="1">
      <c r="A274" s="90"/>
      <c r="H274" s="91"/>
      <c r="I274" s="91"/>
      <c r="J274" s="91"/>
      <c r="S274" s="92"/>
      <c r="AD274" s="93"/>
      <c r="AE274" s="93"/>
    </row>
    <row r="275" ht="13.5" customHeight="1">
      <c r="A275" s="90"/>
      <c r="H275" s="91"/>
      <c r="I275" s="91"/>
      <c r="J275" s="91"/>
      <c r="S275" s="92"/>
      <c r="AD275" s="93"/>
      <c r="AE275" s="93"/>
    </row>
    <row r="276" ht="13.5" customHeight="1">
      <c r="A276" s="90"/>
      <c r="H276" s="91"/>
      <c r="I276" s="91"/>
      <c r="J276" s="91"/>
      <c r="S276" s="92"/>
      <c r="AD276" s="93"/>
      <c r="AE276" s="93"/>
    </row>
    <row r="277" ht="13.5" customHeight="1">
      <c r="A277" s="90"/>
      <c r="H277" s="91"/>
      <c r="I277" s="91"/>
      <c r="J277" s="91"/>
      <c r="S277" s="92"/>
      <c r="AD277" s="93"/>
      <c r="AE277" s="93"/>
    </row>
    <row r="278" ht="13.5" customHeight="1">
      <c r="A278" s="90"/>
      <c r="H278" s="91"/>
      <c r="I278" s="91"/>
      <c r="J278" s="91"/>
      <c r="S278" s="92"/>
      <c r="AD278" s="93"/>
      <c r="AE278" s="93"/>
    </row>
    <row r="279" ht="13.5" customHeight="1">
      <c r="A279" s="90"/>
      <c r="H279" s="91"/>
      <c r="I279" s="91"/>
      <c r="J279" s="91"/>
      <c r="S279" s="92"/>
      <c r="AD279" s="93"/>
      <c r="AE279" s="93"/>
    </row>
    <row r="280" ht="13.5" customHeight="1">
      <c r="A280" s="90"/>
      <c r="H280" s="91"/>
      <c r="I280" s="91"/>
      <c r="J280" s="91"/>
      <c r="S280" s="92"/>
      <c r="AD280" s="93"/>
      <c r="AE280" s="93"/>
    </row>
    <row r="281" ht="13.5" customHeight="1">
      <c r="A281" s="90"/>
      <c r="H281" s="91"/>
      <c r="I281" s="91"/>
      <c r="J281" s="91"/>
      <c r="S281" s="92"/>
      <c r="AD281" s="93"/>
      <c r="AE281" s="93"/>
    </row>
    <row r="282" ht="13.5" customHeight="1">
      <c r="A282" s="90"/>
      <c r="H282" s="91"/>
      <c r="I282" s="91"/>
      <c r="J282" s="91"/>
      <c r="S282" s="92"/>
      <c r="AD282" s="93"/>
      <c r="AE282" s="93"/>
    </row>
    <row r="283" ht="13.5" customHeight="1">
      <c r="A283" s="90"/>
      <c r="H283" s="91"/>
      <c r="I283" s="91"/>
      <c r="J283" s="91"/>
      <c r="S283" s="92"/>
      <c r="AD283" s="93"/>
      <c r="AE283" s="93"/>
    </row>
    <row r="284" ht="13.5" customHeight="1">
      <c r="A284" s="90"/>
      <c r="H284" s="91"/>
      <c r="I284" s="91"/>
      <c r="J284" s="91"/>
      <c r="S284" s="92"/>
      <c r="AD284" s="93"/>
      <c r="AE284" s="93"/>
    </row>
    <row r="285" ht="13.5" customHeight="1">
      <c r="A285" s="90"/>
      <c r="H285" s="91"/>
      <c r="I285" s="91"/>
      <c r="J285" s="91"/>
      <c r="S285" s="92"/>
      <c r="AD285" s="93"/>
      <c r="AE285" s="93"/>
    </row>
    <row r="286" ht="13.5" customHeight="1">
      <c r="A286" s="90"/>
      <c r="H286" s="91"/>
      <c r="I286" s="91"/>
      <c r="J286" s="91"/>
      <c r="S286" s="92"/>
      <c r="AD286" s="93"/>
      <c r="AE286" s="93"/>
    </row>
    <row r="287" ht="13.5" customHeight="1">
      <c r="A287" s="90"/>
      <c r="H287" s="91"/>
      <c r="I287" s="91"/>
      <c r="J287" s="91"/>
      <c r="S287" s="92"/>
      <c r="AD287" s="93"/>
      <c r="AE287" s="93"/>
    </row>
    <row r="288" ht="13.5" customHeight="1">
      <c r="A288" s="90"/>
      <c r="H288" s="91"/>
      <c r="I288" s="91"/>
      <c r="J288" s="91"/>
      <c r="S288" s="92"/>
      <c r="AD288" s="93"/>
      <c r="AE288" s="93"/>
    </row>
    <row r="289" ht="13.5" customHeight="1">
      <c r="A289" s="90"/>
      <c r="H289" s="91"/>
      <c r="I289" s="91"/>
      <c r="J289" s="91"/>
      <c r="S289" s="92"/>
      <c r="AD289" s="93"/>
      <c r="AE289" s="93"/>
    </row>
    <row r="290" ht="13.5" customHeight="1">
      <c r="A290" s="90"/>
      <c r="H290" s="91"/>
      <c r="I290" s="91"/>
      <c r="J290" s="91"/>
      <c r="S290" s="92"/>
      <c r="AD290" s="93"/>
      <c r="AE290" s="93"/>
    </row>
    <row r="291" ht="13.5" customHeight="1">
      <c r="A291" s="90"/>
      <c r="H291" s="91"/>
      <c r="I291" s="91"/>
      <c r="J291" s="91"/>
      <c r="S291" s="92"/>
      <c r="AD291" s="93"/>
      <c r="AE291" s="93"/>
    </row>
    <row r="292" ht="13.5" customHeight="1">
      <c r="A292" s="90"/>
      <c r="H292" s="91"/>
      <c r="I292" s="91"/>
      <c r="J292" s="91"/>
      <c r="S292" s="92"/>
      <c r="AD292" s="93"/>
      <c r="AE292" s="93"/>
    </row>
    <row r="293" ht="13.5" customHeight="1">
      <c r="A293" s="90"/>
      <c r="H293" s="91"/>
      <c r="I293" s="91"/>
      <c r="J293" s="91"/>
      <c r="S293" s="92"/>
      <c r="AD293" s="93"/>
      <c r="AE293" s="93"/>
    </row>
    <row r="294" ht="13.5" customHeight="1">
      <c r="A294" s="90"/>
      <c r="H294" s="91"/>
      <c r="I294" s="91"/>
      <c r="J294" s="91"/>
      <c r="S294" s="92"/>
      <c r="AD294" s="93"/>
      <c r="AE294" s="93"/>
    </row>
    <row r="295" ht="13.5" customHeight="1">
      <c r="A295" s="90"/>
      <c r="H295" s="91"/>
      <c r="I295" s="91"/>
      <c r="J295" s="91"/>
      <c r="S295" s="92"/>
      <c r="AD295" s="93"/>
      <c r="AE295" s="93"/>
    </row>
    <row r="296" ht="13.5" customHeight="1">
      <c r="A296" s="90"/>
      <c r="H296" s="91"/>
      <c r="I296" s="91"/>
      <c r="J296" s="91"/>
      <c r="S296" s="92"/>
      <c r="AD296" s="93"/>
      <c r="AE296" s="93"/>
    </row>
    <row r="297" ht="13.5" customHeight="1">
      <c r="A297" s="90"/>
      <c r="H297" s="91"/>
      <c r="I297" s="91"/>
      <c r="J297" s="91"/>
      <c r="S297" s="92"/>
      <c r="AD297" s="93"/>
      <c r="AE297" s="93"/>
    </row>
    <row r="298" ht="13.5" customHeight="1">
      <c r="A298" s="90"/>
      <c r="H298" s="91"/>
      <c r="I298" s="91"/>
      <c r="J298" s="91"/>
      <c r="S298" s="92"/>
      <c r="AD298" s="93"/>
      <c r="AE298" s="93"/>
    </row>
    <row r="299" ht="13.5" customHeight="1">
      <c r="A299" s="90"/>
      <c r="H299" s="91"/>
      <c r="I299" s="91"/>
      <c r="J299" s="91"/>
      <c r="S299" s="92"/>
      <c r="AD299" s="93"/>
      <c r="AE299" s="93"/>
    </row>
    <row r="300" ht="13.5" customHeight="1">
      <c r="A300" s="90"/>
      <c r="H300" s="91"/>
      <c r="I300" s="91"/>
      <c r="J300" s="91"/>
      <c r="S300" s="92"/>
      <c r="AD300" s="93"/>
      <c r="AE300" s="93"/>
    </row>
    <row r="301" ht="13.5" customHeight="1">
      <c r="A301" s="90"/>
      <c r="H301" s="91"/>
      <c r="I301" s="91"/>
      <c r="J301" s="91"/>
      <c r="S301" s="92"/>
      <c r="AD301" s="93"/>
      <c r="AE301" s="93"/>
    </row>
    <row r="302" ht="13.5" customHeight="1">
      <c r="A302" s="90"/>
      <c r="H302" s="91"/>
      <c r="I302" s="91"/>
      <c r="J302" s="91"/>
      <c r="S302" s="92"/>
      <c r="AD302" s="93"/>
      <c r="AE302" s="93"/>
    </row>
    <row r="303" ht="13.5" customHeight="1">
      <c r="A303" s="90"/>
      <c r="H303" s="91"/>
      <c r="I303" s="91"/>
      <c r="J303" s="91"/>
      <c r="S303" s="92"/>
      <c r="AD303" s="93"/>
      <c r="AE303" s="93"/>
    </row>
    <row r="304" ht="13.5" customHeight="1">
      <c r="A304" s="90"/>
      <c r="H304" s="91"/>
      <c r="I304" s="91"/>
      <c r="J304" s="91"/>
      <c r="S304" s="92"/>
      <c r="AD304" s="93"/>
      <c r="AE304" s="93"/>
    </row>
    <row r="305" ht="13.5" customHeight="1">
      <c r="A305" s="90"/>
      <c r="H305" s="91"/>
      <c r="I305" s="91"/>
      <c r="J305" s="91"/>
      <c r="S305" s="92"/>
      <c r="AD305" s="93"/>
      <c r="AE305" s="93"/>
    </row>
    <row r="306" ht="13.5" customHeight="1">
      <c r="A306" s="90"/>
      <c r="H306" s="91"/>
      <c r="I306" s="91"/>
      <c r="J306" s="91"/>
      <c r="S306" s="92"/>
      <c r="AD306" s="93"/>
      <c r="AE306" s="93"/>
    </row>
    <row r="307" ht="13.5" customHeight="1">
      <c r="A307" s="90"/>
      <c r="H307" s="91"/>
      <c r="I307" s="91"/>
      <c r="J307" s="91"/>
      <c r="S307" s="92"/>
      <c r="AD307" s="93"/>
      <c r="AE307" s="93"/>
    </row>
    <row r="308" ht="13.5" customHeight="1">
      <c r="A308" s="90"/>
      <c r="H308" s="91"/>
      <c r="I308" s="91"/>
      <c r="J308" s="91"/>
      <c r="S308" s="92"/>
      <c r="AD308" s="93"/>
      <c r="AE308" s="93"/>
    </row>
    <row r="309" ht="13.5" customHeight="1">
      <c r="A309" s="90"/>
      <c r="H309" s="91"/>
      <c r="I309" s="91"/>
      <c r="J309" s="91"/>
      <c r="S309" s="92"/>
      <c r="AD309" s="93"/>
      <c r="AE309" s="93"/>
    </row>
    <row r="310" ht="13.5" customHeight="1">
      <c r="A310" s="90"/>
      <c r="H310" s="91"/>
      <c r="I310" s="91"/>
      <c r="J310" s="91"/>
      <c r="S310" s="92"/>
      <c r="AD310" s="93"/>
      <c r="AE310" s="93"/>
    </row>
    <row r="311" ht="13.5" customHeight="1">
      <c r="A311" s="90"/>
      <c r="H311" s="91"/>
      <c r="I311" s="91"/>
      <c r="J311" s="91"/>
      <c r="S311" s="92"/>
      <c r="AD311" s="93"/>
      <c r="AE311" s="93"/>
    </row>
    <row r="312" ht="13.5" customHeight="1">
      <c r="A312" s="90"/>
      <c r="H312" s="91"/>
      <c r="I312" s="91"/>
      <c r="J312" s="91"/>
      <c r="S312" s="92"/>
      <c r="AD312" s="93"/>
      <c r="AE312" s="93"/>
    </row>
    <row r="313" ht="13.5" customHeight="1">
      <c r="A313" s="90"/>
      <c r="H313" s="91"/>
      <c r="I313" s="91"/>
      <c r="J313" s="91"/>
      <c r="S313" s="92"/>
      <c r="AD313" s="93"/>
      <c r="AE313" s="93"/>
    </row>
    <row r="314" ht="13.5" customHeight="1">
      <c r="A314" s="90"/>
      <c r="H314" s="91"/>
      <c r="I314" s="91"/>
      <c r="J314" s="91"/>
      <c r="S314" s="92"/>
      <c r="AD314" s="93"/>
      <c r="AE314" s="93"/>
    </row>
    <row r="315" ht="13.5" customHeight="1">
      <c r="A315" s="90"/>
      <c r="H315" s="91"/>
      <c r="I315" s="91"/>
      <c r="J315" s="91"/>
      <c r="S315" s="92"/>
      <c r="AD315" s="93"/>
      <c r="AE315" s="93"/>
    </row>
    <row r="316" ht="13.5" customHeight="1">
      <c r="A316" s="90"/>
      <c r="H316" s="91"/>
      <c r="I316" s="91"/>
      <c r="J316" s="91"/>
      <c r="S316" s="92"/>
      <c r="AD316" s="93"/>
      <c r="AE316" s="93"/>
    </row>
    <row r="317" ht="13.5" customHeight="1">
      <c r="A317" s="90"/>
      <c r="H317" s="91"/>
      <c r="I317" s="91"/>
      <c r="J317" s="91"/>
      <c r="S317" s="92"/>
      <c r="AD317" s="93"/>
      <c r="AE317" s="93"/>
    </row>
    <row r="318" ht="13.5" customHeight="1">
      <c r="A318" s="90"/>
      <c r="H318" s="91"/>
      <c r="I318" s="91"/>
      <c r="J318" s="91"/>
      <c r="S318" s="92"/>
      <c r="AD318" s="93"/>
      <c r="AE318" s="93"/>
    </row>
    <row r="319" ht="13.5" customHeight="1">
      <c r="A319" s="90"/>
      <c r="H319" s="91"/>
      <c r="I319" s="91"/>
      <c r="J319" s="91"/>
      <c r="S319" s="92"/>
      <c r="AD319" s="93"/>
      <c r="AE319" s="93"/>
    </row>
    <row r="320" ht="13.5" customHeight="1">
      <c r="A320" s="90"/>
      <c r="H320" s="91"/>
      <c r="I320" s="91"/>
      <c r="J320" s="91"/>
      <c r="S320" s="92"/>
      <c r="AD320" s="93"/>
      <c r="AE320" s="93"/>
    </row>
    <row r="321" ht="13.5" customHeight="1">
      <c r="A321" s="90"/>
      <c r="H321" s="91"/>
      <c r="I321" s="91"/>
      <c r="J321" s="91"/>
      <c r="S321" s="92"/>
      <c r="AD321" s="93"/>
      <c r="AE321" s="93"/>
    </row>
    <row r="322" ht="13.5" customHeight="1">
      <c r="A322" s="90"/>
      <c r="H322" s="91"/>
      <c r="I322" s="91"/>
      <c r="J322" s="91"/>
      <c r="S322" s="92"/>
      <c r="AD322" s="93"/>
      <c r="AE322" s="93"/>
    </row>
    <row r="323" ht="13.5" customHeight="1">
      <c r="A323" s="90"/>
      <c r="H323" s="91"/>
      <c r="I323" s="91"/>
      <c r="J323" s="91"/>
      <c r="S323" s="92"/>
      <c r="AD323" s="93"/>
      <c r="AE323" s="93"/>
    </row>
    <row r="324" ht="13.5" customHeight="1">
      <c r="A324" s="90"/>
      <c r="H324" s="91"/>
      <c r="I324" s="91"/>
      <c r="J324" s="91"/>
      <c r="S324" s="92"/>
      <c r="AD324" s="93"/>
      <c r="AE324" s="93"/>
    </row>
    <row r="325" ht="13.5" customHeight="1">
      <c r="A325" s="90"/>
      <c r="H325" s="91"/>
      <c r="I325" s="91"/>
      <c r="J325" s="91"/>
      <c r="S325" s="92"/>
      <c r="AD325" s="93"/>
      <c r="AE325" s="93"/>
    </row>
    <row r="326" ht="13.5" customHeight="1">
      <c r="A326" s="90"/>
      <c r="H326" s="91"/>
      <c r="I326" s="91"/>
      <c r="J326" s="91"/>
      <c r="S326" s="92"/>
      <c r="AD326" s="93"/>
      <c r="AE326" s="93"/>
    </row>
    <row r="327" ht="13.5" customHeight="1">
      <c r="A327" s="90"/>
      <c r="H327" s="91"/>
      <c r="I327" s="91"/>
      <c r="J327" s="91"/>
      <c r="S327" s="92"/>
      <c r="AD327" s="93"/>
      <c r="AE327" s="93"/>
    </row>
    <row r="328" ht="13.5" customHeight="1">
      <c r="A328" s="90"/>
      <c r="H328" s="91"/>
      <c r="I328" s="91"/>
      <c r="J328" s="91"/>
      <c r="S328" s="92"/>
      <c r="AD328" s="93"/>
      <c r="AE328" s="93"/>
    </row>
    <row r="329" ht="13.5" customHeight="1">
      <c r="A329" s="90"/>
      <c r="H329" s="91"/>
      <c r="I329" s="91"/>
      <c r="J329" s="91"/>
      <c r="S329" s="92"/>
      <c r="AD329" s="93"/>
      <c r="AE329" s="93"/>
    </row>
    <row r="330" ht="13.5" customHeight="1">
      <c r="A330" s="90"/>
      <c r="H330" s="91"/>
      <c r="I330" s="91"/>
      <c r="J330" s="91"/>
      <c r="S330" s="92"/>
      <c r="AD330" s="93"/>
      <c r="AE330" s="93"/>
    </row>
    <row r="331" ht="13.5" customHeight="1">
      <c r="A331" s="90"/>
      <c r="H331" s="91"/>
      <c r="I331" s="91"/>
      <c r="J331" s="91"/>
      <c r="S331" s="92"/>
      <c r="AD331" s="93"/>
      <c r="AE331" s="93"/>
    </row>
    <row r="332" ht="13.5" customHeight="1">
      <c r="A332" s="90"/>
      <c r="H332" s="91"/>
      <c r="I332" s="91"/>
      <c r="J332" s="91"/>
      <c r="S332" s="92"/>
      <c r="AD332" s="93"/>
      <c r="AE332" s="93"/>
    </row>
    <row r="333" ht="13.5" customHeight="1">
      <c r="A333" s="90"/>
      <c r="H333" s="91"/>
      <c r="I333" s="91"/>
      <c r="J333" s="91"/>
      <c r="S333" s="92"/>
      <c r="AD333" s="93"/>
      <c r="AE333" s="93"/>
    </row>
    <row r="334" ht="13.5" customHeight="1">
      <c r="A334" s="90"/>
      <c r="H334" s="91"/>
      <c r="I334" s="91"/>
      <c r="J334" s="91"/>
      <c r="S334" s="92"/>
      <c r="AD334" s="93"/>
      <c r="AE334" s="93"/>
    </row>
    <row r="335" ht="13.5" customHeight="1">
      <c r="A335" s="90"/>
      <c r="H335" s="91"/>
      <c r="I335" s="91"/>
      <c r="J335" s="91"/>
      <c r="S335" s="92"/>
      <c r="AD335" s="93"/>
      <c r="AE335" s="93"/>
    </row>
    <row r="336" ht="13.5" customHeight="1">
      <c r="A336" s="90"/>
      <c r="H336" s="91"/>
      <c r="I336" s="91"/>
      <c r="J336" s="91"/>
      <c r="S336" s="92"/>
      <c r="AD336" s="93"/>
      <c r="AE336" s="93"/>
    </row>
    <row r="337" ht="13.5" customHeight="1">
      <c r="A337" s="90"/>
      <c r="H337" s="91"/>
      <c r="I337" s="91"/>
      <c r="J337" s="91"/>
      <c r="S337" s="92"/>
      <c r="AD337" s="93"/>
      <c r="AE337" s="93"/>
    </row>
    <row r="338" ht="13.5" customHeight="1">
      <c r="A338" s="90"/>
      <c r="H338" s="91"/>
      <c r="I338" s="91"/>
      <c r="J338" s="91"/>
      <c r="S338" s="92"/>
      <c r="AD338" s="93"/>
      <c r="AE338" s="93"/>
    </row>
    <row r="339" ht="13.5" customHeight="1">
      <c r="A339" s="90"/>
      <c r="H339" s="91"/>
      <c r="I339" s="91"/>
      <c r="J339" s="91"/>
      <c r="S339" s="92"/>
      <c r="AD339" s="93"/>
      <c r="AE339" s="93"/>
    </row>
    <row r="340" ht="13.5" customHeight="1">
      <c r="A340" s="90"/>
      <c r="H340" s="91"/>
      <c r="I340" s="91"/>
      <c r="J340" s="91"/>
      <c r="S340" s="92"/>
      <c r="AD340" s="93"/>
      <c r="AE340" s="93"/>
    </row>
    <row r="341" ht="13.5" customHeight="1">
      <c r="A341" s="90"/>
      <c r="H341" s="91"/>
      <c r="I341" s="91"/>
      <c r="J341" s="91"/>
      <c r="S341" s="92"/>
      <c r="AD341" s="93"/>
      <c r="AE341" s="93"/>
    </row>
    <row r="342" ht="13.5" customHeight="1">
      <c r="A342" s="90"/>
      <c r="H342" s="91"/>
      <c r="I342" s="91"/>
      <c r="J342" s="91"/>
      <c r="S342" s="92"/>
      <c r="AD342" s="93"/>
      <c r="AE342" s="93"/>
    </row>
    <row r="343" ht="13.5" customHeight="1">
      <c r="A343" s="90"/>
      <c r="H343" s="91"/>
      <c r="I343" s="91"/>
      <c r="J343" s="91"/>
      <c r="S343" s="92"/>
      <c r="AD343" s="93"/>
      <c r="AE343" s="93"/>
    </row>
    <row r="344" ht="13.5" customHeight="1">
      <c r="A344" s="90"/>
      <c r="H344" s="91"/>
      <c r="I344" s="91"/>
      <c r="J344" s="91"/>
      <c r="S344" s="92"/>
      <c r="AD344" s="93"/>
      <c r="AE344" s="93"/>
    </row>
    <row r="345" ht="13.5" customHeight="1">
      <c r="A345" s="90"/>
      <c r="H345" s="91"/>
      <c r="I345" s="91"/>
      <c r="J345" s="91"/>
      <c r="S345" s="92"/>
      <c r="AD345" s="93"/>
      <c r="AE345" s="93"/>
    </row>
    <row r="346" ht="13.5" customHeight="1">
      <c r="A346" s="90"/>
      <c r="H346" s="91"/>
      <c r="I346" s="91"/>
      <c r="J346" s="91"/>
      <c r="S346" s="92"/>
      <c r="AD346" s="93"/>
      <c r="AE346" s="93"/>
    </row>
    <row r="347" ht="13.5" customHeight="1">
      <c r="A347" s="90"/>
      <c r="H347" s="91"/>
      <c r="I347" s="91"/>
      <c r="J347" s="91"/>
      <c r="S347" s="92"/>
      <c r="AD347" s="93"/>
      <c r="AE347" s="93"/>
    </row>
    <row r="348" ht="13.5" customHeight="1">
      <c r="A348" s="90"/>
      <c r="H348" s="91"/>
      <c r="I348" s="91"/>
      <c r="J348" s="91"/>
      <c r="S348" s="92"/>
      <c r="AD348" s="93"/>
      <c r="AE348" s="93"/>
    </row>
    <row r="349" ht="13.5" customHeight="1">
      <c r="A349" s="90"/>
      <c r="H349" s="91"/>
      <c r="I349" s="91"/>
      <c r="J349" s="91"/>
      <c r="S349" s="92"/>
      <c r="AD349" s="93"/>
      <c r="AE349" s="93"/>
    </row>
    <row r="350" ht="13.5" customHeight="1">
      <c r="A350" s="90"/>
      <c r="H350" s="91"/>
      <c r="I350" s="91"/>
      <c r="J350" s="91"/>
      <c r="S350" s="92"/>
      <c r="AD350" s="93"/>
      <c r="AE350" s="93"/>
    </row>
    <row r="351" ht="13.5" customHeight="1">
      <c r="A351" s="90"/>
      <c r="H351" s="91"/>
      <c r="I351" s="91"/>
      <c r="J351" s="91"/>
      <c r="S351" s="92"/>
      <c r="AD351" s="93"/>
      <c r="AE351" s="93"/>
    </row>
    <row r="352" ht="13.5" customHeight="1">
      <c r="A352" s="90"/>
      <c r="H352" s="91"/>
      <c r="I352" s="91"/>
      <c r="J352" s="91"/>
      <c r="S352" s="92"/>
      <c r="AD352" s="93"/>
      <c r="AE352" s="93"/>
    </row>
    <row r="353" ht="13.5" customHeight="1">
      <c r="A353" s="90"/>
      <c r="H353" s="91"/>
      <c r="I353" s="91"/>
      <c r="J353" s="91"/>
      <c r="S353" s="92"/>
      <c r="AD353" s="93"/>
      <c r="AE353" s="93"/>
    </row>
    <row r="354" ht="13.5" customHeight="1">
      <c r="A354" s="90"/>
      <c r="H354" s="91"/>
      <c r="I354" s="91"/>
      <c r="J354" s="91"/>
      <c r="S354" s="92"/>
      <c r="AD354" s="93"/>
      <c r="AE354" s="93"/>
    </row>
    <row r="355" ht="13.5" customHeight="1">
      <c r="A355" s="90"/>
      <c r="H355" s="91"/>
      <c r="I355" s="91"/>
      <c r="J355" s="91"/>
      <c r="S355" s="92"/>
      <c r="AD355" s="93"/>
      <c r="AE355" s="93"/>
    </row>
    <row r="356" ht="13.5" customHeight="1">
      <c r="A356" s="90"/>
      <c r="H356" s="91"/>
      <c r="I356" s="91"/>
      <c r="J356" s="91"/>
      <c r="S356" s="92"/>
      <c r="AD356" s="93"/>
      <c r="AE356" s="93"/>
    </row>
    <row r="357" ht="13.5" customHeight="1">
      <c r="A357" s="90"/>
      <c r="H357" s="91"/>
      <c r="I357" s="91"/>
      <c r="J357" s="91"/>
      <c r="S357" s="92"/>
      <c r="AD357" s="93"/>
      <c r="AE357" s="93"/>
    </row>
    <row r="358" ht="13.5" customHeight="1">
      <c r="A358" s="90"/>
      <c r="H358" s="91"/>
      <c r="I358" s="91"/>
      <c r="J358" s="91"/>
      <c r="S358" s="92"/>
      <c r="AD358" s="93"/>
      <c r="AE358" s="93"/>
    </row>
    <row r="359" ht="13.5" customHeight="1">
      <c r="A359" s="90"/>
      <c r="H359" s="91"/>
      <c r="I359" s="91"/>
      <c r="J359" s="91"/>
      <c r="S359" s="92"/>
      <c r="AD359" s="93"/>
      <c r="AE359" s="93"/>
    </row>
    <row r="360" ht="13.5" customHeight="1">
      <c r="A360" s="90"/>
      <c r="H360" s="91"/>
      <c r="I360" s="91"/>
      <c r="J360" s="91"/>
      <c r="S360" s="92"/>
      <c r="AD360" s="93"/>
      <c r="AE360" s="93"/>
    </row>
    <row r="361" ht="13.5" customHeight="1">
      <c r="A361" s="90"/>
      <c r="H361" s="91"/>
      <c r="I361" s="91"/>
      <c r="J361" s="91"/>
      <c r="S361" s="92"/>
      <c r="AD361" s="93"/>
      <c r="AE361" s="93"/>
    </row>
    <row r="362" ht="13.5" customHeight="1">
      <c r="A362" s="90"/>
      <c r="H362" s="91"/>
      <c r="I362" s="91"/>
      <c r="J362" s="91"/>
      <c r="S362" s="92"/>
      <c r="AD362" s="93"/>
      <c r="AE362" s="93"/>
    </row>
    <row r="363" ht="13.5" customHeight="1">
      <c r="A363" s="90"/>
      <c r="H363" s="91"/>
      <c r="I363" s="91"/>
      <c r="J363" s="91"/>
      <c r="S363" s="92"/>
      <c r="AD363" s="93"/>
      <c r="AE363" s="93"/>
    </row>
    <row r="364" ht="13.5" customHeight="1">
      <c r="A364" s="90"/>
      <c r="H364" s="91"/>
      <c r="I364" s="91"/>
      <c r="J364" s="91"/>
      <c r="S364" s="92"/>
      <c r="AD364" s="93"/>
      <c r="AE364" s="93"/>
    </row>
    <row r="365" ht="13.5" customHeight="1">
      <c r="A365" s="90"/>
      <c r="H365" s="91"/>
      <c r="I365" s="91"/>
      <c r="J365" s="91"/>
      <c r="S365" s="92"/>
      <c r="AD365" s="93"/>
      <c r="AE365" s="93"/>
    </row>
    <row r="366" ht="13.5" customHeight="1">
      <c r="A366" s="90"/>
      <c r="H366" s="91"/>
      <c r="I366" s="91"/>
      <c r="J366" s="91"/>
      <c r="S366" s="92"/>
      <c r="AD366" s="93"/>
      <c r="AE366" s="93"/>
    </row>
    <row r="367" ht="13.5" customHeight="1">
      <c r="A367" s="90"/>
      <c r="H367" s="91"/>
      <c r="I367" s="91"/>
      <c r="J367" s="91"/>
      <c r="S367" s="92"/>
      <c r="AD367" s="93"/>
      <c r="AE367" s="93"/>
    </row>
    <row r="368" ht="13.5" customHeight="1">
      <c r="A368" s="90"/>
      <c r="H368" s="91"/>
      <c r="I368" s="91"/>
      <c r="J368" s="91"/>
      <c r="S368" s="92"/>
      <c r="AD368" s="93"/>
      <c r="AE368" s="93"/>
    </row>
    <row r="369" ht="13.5" customHeight="1">
      <c r="A369" s="90"/>
      <c r="H369" s="91"/>
      <c r="I369" s="91"/>
      <c r="J369" s="91"/>
      <c r="S369" s="92"/>
      <c r="AD369" s="93"/>
      <c r="AE369" s="93"/>
    </row>
    <row r="370" ht="13.5" customHeight="1">
      <c r="A370" s="90"/>
      <c r="H370" s="91"/>
      <c r="I370" s="91"/>
      <c r="J370" s="91"/>
      <c r="S370" s="92"/>
      <c r="AD370" s="93"/>
      <c r="AE370" s="93"/>
    </row>
    <row r="371" ht="13.5" customHeight="1">
      <c r="A371" s="90"/>
      <c r="H371" s="91"/>
      <c r="I371" s="91"/>
      <c r="J371" s="91"/>
      <c r="S371" s="92"/>
      <c r="AD371" s="93"/>
      <c r="AE371" s="93"/>
    </row>
    <row r="372" ht="13.5" customHeight="1">
      <c r="A372" s="90"/>
      <c r="H372" s="91"/>
      <c r="I372" s="91"/>
      <c r="J372" s="91"/>
      <c r="S372" s="92"/>
      <c r="AD372" s="93"/>
      <c r="AE372" s="93"/>
    </row>
    <row r="373" ht="13.5" customHeight="1">
      <c r="A373" s="90"/>
      <c r="H373" s="91"/>
      <c r="I373" s="91"/>
      <c r="J373" s="91"/>
      <c r="S373" s="92"/>
      <c r="AD373" s="93"/>
      <c r="AE373" s="93"/>
    </row>
    <row r="374" ht="13.5" customHeight="1">
      <c r="A374" s="90"/>
      <c r="H374" s="91"/>
      <c r="I374" s="91"/>
      <c r="J374" s="91"/>
      <c r="S374" s="92"/>
      <c r="AD374" s="93"/>
      <c r="AE374" s="93"/>
    </row>
    <row r="375" ht="13.5" customHeight="1">
      <c r="A375" s="90"/>
      <c r="H375" s="91"/>
      <c r="I375" s="91"/>
      <c r="J375" s="91"/>
      <c r="S375" s="92"/>
      <c r="AD375" s="93"/>
      <c r="AE375" s="93"/>
    </row>
    <row r="376" ht="13.5" customHeight="1">
      <c r="A376" s="90"/>
      <c r="H376" s="91"/>
      <c r="I376" s="91"/>
      <c r="J376" s="91"/>
      <c r="S376" s="92"/>
      <c r="AD376" s="93"/>
      <c r="AE376" s="93"/>
    </row>
    <row r="377" ht="13.5" customHeight="1">
      <c r="A377" s="90"/>
      <c r="H377" s="91"/>
      <c r="I377" s="91"/>
      <c r="J377" s="91"/>
      <c r="S377" s="92"/>
      <c r="AD377" s="93"/>
      <c r="AE377" s="93"/>
    </row>
    <row r="378" ht="13.5" customHeight="1">
      <c r="A378" s="90"/>
      <c r="H378" s="91"/>
      <c r="I378" s="91"/>
      <c r="J378" s="91"/>
      <c r="S378" s="92"/>
      <c r="AD378" s="93"/>
      <c r="AE378" s="93"/>
    </row>
    <row r="379" ht="13.5" customHeight="1">
      <c r="A379" s="90"/>
      <c r="H379" s="91"/>
      <c r="I379" s="91"/>
      <c r="J379" s="91"/>
      <c r="S379" s="92"/>
      <c r="AD379" s="93"/>
      <c r="AE379" s="93"/>
    </row>
    <row r="380" ht="13.5" customHeight="1">
      <c r="A380" s="90"/>
      <c r="H380" s="91"/>
      <c r="I380" s="91"/>
      <c r="J380" s="91"/>
      <c r="S380" s="92"/>
      <c r="AD380" s="93"/>
      <c r="AE380" s="93"/>
    </row>
    <row r="381" ht="13.5" customHeight="1">
      <c r="A381" s="90"/>
      <c r="H381" s="91"/>
      <c r="I381" s="91"/>
      <c r="J381" s="91"/>
      <c r="S381" s="92"/>
      <c r="AD381" s="93"/>
      <c r="AE381" s="93"/>
    </row>
    <row r="382" ht="13.5" customHeight="1">
      <c r="A382" s="90"/>
      <c r="H382" s="91"/>
      <c r="I382" s="91"/>
      <c r="J382" s="91"/>
      <c r="S382" s="92"/>
      <c r="AD382" s="93"/>
      <c r="AE382" s="93"/>
    </row>
    <row r="383" ht="13.5" customHeight="1">
      <c r="A383" s="90"/>
      <c r="H383" s="91"/>
      <c r="I383" s="91"/>
      <c r="J383" s="91"/>
      <c r="S383" s="92"/>
      <c r="AD383" s="93"/>
      <c r="AE383" s="93"/>
    </row>
    <row r="384" ht="13.5" customHeight="1">
      <c r="A384" s="90"/>
      <c r="H384" s="91"/>
      <c r="I384" s="91"/>
      <c r="J384" s="91"/>
      <c r="S384" s="92"/>
      <c r="AD384" s="93"/>
      <c r="AE384" s="93"/>
    </row>
    <row r="385" ht="13.5" customHeight="1">
      <c r="A385" s="90"/>
      <c r="H385" s="91"/>
      <c r="I385" s="91"/>
      <c r="J385" s="91"/>
      <c r="S385" s="92"/>
      <c r="AD385" s="93"/>
      <c r="AE385" s="93"/>
    </row>
    <row r="386" ht="13.5" customHeight="1">
      <c r="A386" s="90"/>
      <c r="H386" s="91"/>
      <c r="I386" s="91"/>
      <c r="J386" s="91"/>
      <c r="S386" s="92"/>
      <c r="AD386" s="93"/>
      <c r="AE386" s="93"/>
    </row>
    <row r="387" ht="13.5" customHeight="1">
      <c r="A387" s="90"/>
      <c r="H387" s="91"/>
      <c r="I387" s="91"/>
      <c r="J387" s="91"/>
      <c r="S387" s="92"/>
      <c r="AD387" s="93"/>
      <c r="AE387" s="93"/>
    </row>
    <row r="388" ht="13.5" customHeight="1">
      <c r="A388" s="90"/>
      <c r="H388" s="91"/>
      <c r="I388" s="91"/>
      <c r="J388" s="91"/>
      <c r="S388" s="92"/>
      <c r="AD388" s="93"/>
      <c r="AE388" s="93"/>
    </row>
    <row r="389" ht="13.5" customHeight="1">
      <c r="A389" s="90"/>
      <c r="H389" s="91"/>
      <c r="I389" s="91"/>
      <c r="J389" s="91"/>
      <c r="S389" s="92"/>
      <c r="AD389" s="93"/>
      <c r="AE389" s="93"/>
    </row>
    <row r="390" ht="13.5" customHeight="1">
      <c r="A390" s="90"/>
      <c r="H390" s="91"/>
      <c r="I390" s="91"/>
      <c r="J390" s="91"/>
      <c r="S390" s="92"/>
      <c r="AD390" s="93"/>
      <c r="AE390" s="93"/>
    </row>
    <row r="391" ht="13.5" customHeight="1">
      <c r="A391" s="90"/>
      <c r="H391" s="91"/>
      <c r="I391" s="91"/>
      <c r="J391" s="91"/>
      <c r="S391" s="92"/>
      <c r="AD391" s="93"/>
      <c r="AE391" s="93"/>
    </row>
    <row r="392" ht="13.5" customHeight="1">
      <c r="A392" s="90"/>
      <c r="H392" s="91"/>
      <c r="I392" s="91"/>
      <c r="J392" s="91"/>
      <c r="S392" s="92"/>
      <c r="AD392" s="93"/>
      <c r="AE392" s="93"/>
    </row>
    <row r="393" ht="13.5" customHeight="1">
      <c r="A393" s="90"/>
      <c r="H393" s="91"/>
      <c r="I393" s="91"/>
      <c r="J393" s="91"/>
      <c r="S393" s="92"/>
      <c r="AD393" s="93"/>
      <c r="AE393" s="93"/>
    </row>
    <row r="394" ht="13.5" customHeight="1">
      <c r="A394" s="90"/>
      <c r="H394" s="91"/>
      <c r="I394" s="91"/>
      <c r="J394" s="91"/>
      <c r="S394" s="92"/>
      <c r="AD394" s="93"/>
      <c r="AE394" s="93"/>
    </row>
    <row r="395" ht="13.5" customHeight="1">
      <c r="A395" s="90"/>
      <c r="H395" s="91"/>
      <c r="I395" s="91"/>
      <c r="J395" s="91"/>
      <c r="S395" s="92"/>
      <c r="AD395" s="93"/>
      <c r="AE395" s="93"/>
    </row>
    <row r="396" ht="13.5" customHeight="1">
      <c r="A396" s="90"/>
      <c r="H396" s="91"/>
      <c r="I396" s="91"/>
      <c r="J396" s="91"/>
      <c r="S396" s="92"/>
      <c r="AD396" s="93"/>
      <c r="AE396" s="93"/>
    </row>
    <row r="397" ht="13.5" customHeight="1">
      <c r="A397" s="90"/>
      <c r="H397" s="91"/>
      <c r="I397" s="91"/>
      <c r="J397" s="91"/>
      <c r="S397" s="92"/>
      <c r="AD397" s="93"/>
      <c r="AE397" s="93"/>
    </row>
    <row r="398" ht="13.5" customHeight="1">
      <c r="A398" s="90"/>
      <c r="H398" s="91"/>
      <c r="I398" s="91"/>
      <c r="J398" s="91"/>
      <c r="S398" s="92"/>
      <c r="AD398" s="93"/>
      <c r="AE398" s="93"/>
    </row>
    <row r="399" ht="13.5" customHeight="1">
      <c r="A399" s="90"/>
      <c r="H399" s="91"/>
      <c r="I399" s="91"/>
      <c r="J399" s="91"/>
      <c r="S399" s="92"/>
      <c r="AD399" s="93"/>
      <c r="AE399" s="93"/>
    </row>
    <row r="400" ht="13.5" customHeight="1">
      <c r="A400" s="90"/>
      <c r="H400" s="91"/>
      <c r="I400" s="91"/>
      <c r="J400" s="91"/>
      <c r="S400" s="92"/>
      <c r="AD400" s="93"/>
      <c r="AE400" s="93"/>
    </row>
    <row r="401" ht="13.5" customHeight="1">
      <c r="A401" s="90"/>
      <c r="H401" s="91"/>
      <c r="I401" s="91"/>
      <c r="J401" s="91"/>
      <c r="S401" s="92"/>
      <c r="AD401" s="93"/>
      <c r="AE401" s="93"/>
    </row>
    <row r="402" ht="13.5" customHeight="1">
      <c r="A402" s="90"/>
      <c r="H402" s="91"/>
      <c r="I402" s="91"/>
      <c r="J402" s="91"/>
      <c r="S402" s="92"/>
      <c r="AD402" s="93"/>
      <c r="AE402" s="93"/>
    </row>
    <row r="403" ht="13.5" customHeight="1">
      <c r="A403" s="90"/>
      <c r="H403" s="91"/>
      <c r="I403" s="91"/>
      <c r="J403" s="91"/>
      <c r="S403" s="92"/>
      <c r="AD403" s="93"/>
      <c r="AE403" s="93"/>
    </row>
    <row r="404" ht="13.5" customHeight="1">
      <c r="A404" s="90"/>
      <c r="H404" s="91"/>
      <c r="I404" s="91"/>
      <c r="J404" s="91"/>
      <c r="S404" s="92"/>
      <c r="AD404" s="93"/>
      <c r="AE404" s="93"/>
    </row>
    <row r="405" ht="13.5" customHeight="1">
      <c r="A405" s="90"/>
      <c r="H405" s="91"/>
      <c r="I405" s="91"/>
      <c r="J405" s="91"/>
      <c r="S405" s="92"/>
      <c r="AD405" s="93"/>
      <c r="AE405" s="93"/>
    </row>
    <row r="406" ht="13.5" customHeight="1">
      <c r="A406" s="90"/>
      <c r="H406" s="91"/>
      <c r="I406" s="91"/>
      <c r="J406" s="91"/>
      <c r="S406" s="92"/>
      <c r="AD406" s="93"/>
      <c r="AE406" s="93"/>
    </row>
    <row r="407" ht="13.5" customHeight="1">
      <c r="A407" s="90"/>
      <c r="H407" s="91"/>
      <c r="I407" s="91"/>
      <c r="J407" s="91"/>
      <c r="S407" s="92"/>
      <c r="AD407" s="93"/>
      <c r="AE407" s="93"/>
    </row>
    <row r="408" ht="13.5" customHeight="1">
      <c r="A408" s="90"/>
      <c r="H408" s="91"/>
      <c r="I408" s="91"/>
      <c r="J408" s="91"/>
      <c r="S408" s="92"/>
      <c r="AD408" s="93"/>
      <c r="AE408" s="93"/>
    </row>
    <row r="409" ht="13.5" customHeight="1">
      <c r="A409" s="90"/>
      <c r="H409" s="91"/>
      <c r="I409" s="91"/>
      <c r="J409" s="91"/>
      <c r="S409" s="92"/>
      <c r="AD409" s="93"/>
      <c r="AE409" s="93"/>
    </row>
    <row r="410" ht="13.5" customHeight="1">
      <c r="A410" s="90"/>
      <c r="H410" s="91"/>
      <c r="I410" s="91"/>
      <c r="J410" s="91"/>
      <c r="S410" s="92"/>
      <c r="AD410" s="93"/>
      <c r="AE410" s="93"/>
    </row>
    <row r="411" ht="13.5" customHeight="1">
      <c r="A411" s="90"/>
      <c r="H411" s="91"/>
      <c r="I411" s="91"/>
      <c r="J411" s="91"/>
      <c r="S411" s="92"/>
      <c r="AD411" s="93"/>
      <c r="AE411" s="93"/>
    </row>
    <row r="412" ht="13.5" customHeight="1">
      <c r="A412" s="90"/>
      <c r="H412" s="91"/>
      <c r="I412" s="91"/>
      <c r="J412" s="91"/>
      <c r="S412" s="92"/>
      <c r="AD412" s="93"/>
      <c r="AE412" s="93"/>
    </row>
    <row r="413" ht="13.5" customHeight="1">
      <c r="A413" s="90"/>
      <c r="H413" s="91"/>
      <c r="I413" s="91"/>
      <c r="J413" s="91"/>
      <c r="S413" s="92"/>
      <c r="AD413" s="93"/>
      <c r="AE413" s="93"/>
    </row>
    <row r="414" ht="13.5" customHeight="1">
      <c r="A414" s="90"/>
      <c r="H414" s="91"/>
      <c r="I414" s="91"/>
      <c r="J414" s="91"/>
      <c r="S414" s="92"/>
      <c r="AD414" s="93"/>
      <c r="AE414" s="93"/>
    </row>
    <row r="415" ht="13.5" customHeight="1">
      <c r="A415" s="90"/>
      <c r="H415" s="91"/>
      <c r="I415" s="91"/>
      <c r="J415" s="91"/>
      <c r="S415" s="92"/>
      <c r="AD415" s="93"/>
      <c r="AE415" s="93"/>
    </row>
    <row r="416" ht="13.5" customHeight="1">
      <c r="A416" s="90"/>
      <c r="H416" s="91"/>
      <c r="I416" s="91"/>
      <c r="J416" s="91"/>
      <c r="S416" s="92"/>
      <c r="AD416" s="93"/>
      <c r="AE416" s="93"/>
    </row>
    <row r="417" ht="13.5" customHeight="1">
      <c r="A417" s="90"/>
      <c r="H417" s="91"/>
      <c r="I417" s="91"/>
      <c r="J417" s="91"/>
      <c r="S417" s="92"/>
      <c r="AD417" s="93"/>
      <c r="AE417" s="93"/>
    </row>
    <row r="418" ht="13.5" customHeight="1">
      <c r="A418" s="90"/>
      <c r="H418" s="91"/>
      <c r="I418" s="91"/>
      <c r="J418" s="91"/>
      <c r="S418" s="92"/>
      <c r="AD418" s="93"/>
      <c r="AE418" s="93"/>
    </row>
    <row r="419" ht="13.5" customHeight="1">
      <c r="A419" s="90"/>
      <c r="H419" s="91"/>
      <c r="I419" s="91"/>
      <c r="J419" s="91"/>
      <c r="S419" s="92"/>
      <c r="AD419" s="93"/>
      <c r="AE419" s="93"/>
    </row>
    <row r="420" ht="13.5" customHeight="1">
      <c r="A420" s="90"/>
      <c r="H420" s="91"/>
      <c r="I420" s="91"/>
      <c r="J420" s="91"/>
      <c r="S420" s="92"/>
      <c r="AD420" s="93"/>
      <c r="AE420" s="93"/>
    </row>
    <row r="421" ht="13.5" customHeight="1">
      <c r="A421" s="90"/>
      <c r="H421" s="91"/>
      <c r="I421" s="91"/>
      <c r="J421" s="91"/>
      <c r="S421" s="92"/>
      <c r="AD421" s="93"/>
      <c r="AE421" s="93"/>
    </row>
    <row r="422" ht="13.5" customHeight="1">
      <c r="A422" s="90"/>
      <c r="H422" s="91"/>
      <c r="I422" s="91"/>
      <c r="J422" s="91"/>
      <c r="S422" s="92"/>
      <c r="AD422" s="93"/>
      <c r="AE422" s="93"/>
    </row>
    <row r="423" ht="13.5" customHeight="1">
      <c r="A423" s="90"/>
      <c r="H423" s="91"/>
      <c r="I423" s="91"/>
      <c r="J423" s="91"/>
      <c r="S423" s="92"/>
      <c r="AD423" s="93"/>
      <c r="AE423" s="93"/>
    </row>
    <row r="424" ht="13.5" customHeight="1">
      <c r="A424" s="90"/>
      <c r="H424" s="91"/>
      <c r="I424" s="91"/>
      <c r="J424" s="91"/>
      <c r="S424" s="92"/>
      <c r="AD424" s="93"/>
      <c r="AE424" s="93"/>
    </row>
    <row r="425" ht="13.5" customHeight="1">
      <c r="A425" s="90"/>
      <c r="H425" s="91"/>
      <c r="I425" s="91"/>
      <c r="J425" s="91"/>
      <c r="S425" s="92"/>
      <c r="AD425" s="93"/>
      <c r="AE425" s="93"/>
    </row>
    <row r="426" ht="13.5" customHeight="1">
      <c r="A426" s="90"/>
      <c r="H426" s="91"/>
      <c r="I426" s="91"/>
      <c r="J426" s="91"/>
      <c r="S426" s="92"/>
      <c r="AD426" s="93"/>
      <c r="AE426" s="93"/>
    </row>
    <row r="427" ht="13.5" customHeight="1">
      <c r="A427" s="90"/>
      <c r="H427" s="91"/>
      <c r="I427" s="91"/>
      <c r="J427" s="91"/>
      <c r="S427" s="92"/>
      <c r="AD427" s="93"/>
      <c r="AE427" s="93"/>
    </row>
    <row r="428" ht="13.5" customHeight="1">
      <c r="A428" s="90"/>
      <c r="H428" s="91"/>
      <c r="I428" s="91"/>
      <c r="J428" s="91"/>
      <c r="S428" s="92"/>
      <c r="AD428" s="93"/>
      <c r="AE428" s="93"/>
    </row>
    <row r="429" ht="13.5" customHeight="1">
      <c r="A429" s="90"/>
      <c r="H429" s="91"/>
      <c r="I429" s="91"/>
      <c r="J429" s="91"/>
      <c r="S429" s="92"/>
      <c r="AD429" s="93"/>
      <c r="AE429" s="93"/>
    </row>
    <row r="430" ht="13.5" customHeight="1">
      <c r="A430" s="90"/>
      <c r="H430" s="91"/>
      <c r="I430" s="91"/>
      <c r="J430" s="91"/>
      <c r="S430" s="92"/>
      <c r="AD430" s="93"/>
      <c r="AE430" s="93"/>
    </row>
    <row r="431" ht="13.5" customHeight="1">
      <c r="A431" s="90"/>
      <c r="H431" s="91"/>
      <c r="I431" s="91"/>
      <c r="J431" s="91"/>
      <c r="S431" s="92"/>
      <c r="AD431" s="93"/>
      <c r="AE431" s="93"/>
    </row>
    <row r="432" ht="13.5" customHeight="1">
      <c r="A432" s="90"/>
      <c r="H432" s="91"/>
      <c r="I432" s="91"/>
      <c r="J432" s="91"/>
      <c r="S432" s="92"/>
      <c r="AD432" s="93"/>
      <c r="AE432" s="93"/>
    </row>
    <row r="433" ht="13.5" customHeight="1">
      <c r="A433" s="90"/>
      <c r="H433" s="91"/>
      <c r="I433" s="91"/>
      <c r="J433" s="91"/>
      <c r="S433" s="92"/>
      <c r="AD433" s="93"/>
      <c r="AE433" s="93"/>
    </row>
    <row r="434" ht="13.5" customHeight="1">
      <c r="A434" s="90"/>
      <c r="H434" s="91"/>
      <c r="I434" s="91"/>
      <c r="J434" s="91"/>
      <c r="S434" s="92"/>
      <c r="AD434" s="93"/>
      <c r="AE434" s="93"/>
    </row>
    <row r="435" ht="13.5" customHeight="1">
      <c r="A435" s="90"/>
      <c r="H435" s="91"/>
      <c r="I435" s="91"/>
      <c r="J435" s="91"/>
      <c r="S435" s="92"/>
      <c r="AD435" s="93"/>
      <c r="AE435" s="93"/>
    </row>
    <row r="436" ht="13.5" customHeight="1">
      <c r="A436" s="90"/>
      <c r="H436" s="91"/>
      <c r="I436" s="91"/>
      <c r="J436" s="91"/>
      <c r="S436" s="92"/>
      <c r="AD436" s="93"/>
      <c r="AE436" s="93"/>
    </row>
    <row r="437" ht="13.5" customHeight="1">
      <c r="A437" s="90"/>
      <c r="H437" s="91"/>
      <c r="I437" s="91"/>
      <c r="J437" s="91"/>
      <c r="S437" s="92"/>
      <c r="AD437" s="93"/>
      <c r="AE437" s="93"/>
    </row>
    <row r="438" ht="13.5" customHeight="1">
      <c r="A438" s="90"/>
      <c r="H438" s="91"/>
      <c r="I438" s="91"/>
      <c r="J438" s="91"/>
      <c r="S438" s="92"/>
      <c r="AD438" s="93"/>
      <c r="AE438" s="93"/>
    </row>
    <row r="439" ht="13.5" customHeight="1">
      <c r="A439" s="90"/>
      <c r="H439" s="91"/>
      <c r="I439" s="91"/>
      <c r="J439" s="91"/>
      <c r="S439" s="92"/>
      <c r="AD439" s="93"/>
      <c r="AE439" s="93"/>
    </row>
    <row r="440" ht="13.5" customHeight="1">
      <c r="A440" s="90"/>
      <c r="H440" s="91"/>
      <c r="I440" s="91"/>
      <c r="J440" s="91"/>
      <c r="S440" s="92"/>
      <c r="AD440" s="93"/>
      <c r="AE440" s="93"/>
    </row>
    <row r="441" ht="13.5" customHeight="1">
      <c r="A441" s="90"/>
      <c r="H441" s="91"/>
      <c r="I441" s="91"/>
      <c r="J441" s="91"/>
      <c r="S441" s="92"/>
      <c r="AD441" s="93"/>
      <c r="AE441" s="93"/>
    </row>
    <row r="442" ht="13.5" customHeight="1">
      <c r="A442" s="90"/>
      <c r="H442" s="91"/>
      <c r="I442" s="91"/>
      <c r="J442" s="91"/>
      <c r="S442" s="92"/>
      <c r="AD442" s="93"/>
      <c r="AE442" s="93"/>
    </row>
    <row r="443" ht="13.5" customHeight="1">
      <c r="A443" s="90"/>
      <c r="H443" s="91"/>
      <c r="I443" s="91"/>
      <c r="J443" s="91"/>
      <c r="S443" s="92"/>
      <c r="AD443" s="93"/>
      <c r="AE443" s="93"/>
    </row>
    <row r="444" ht="13.5" customHeight="1">
      <c r="A444" s="90"/>
      <c r="H444" s="91"/>
      <c r="I444" s="91"/>
      <c r="J444" s="91"/>
      <c r="S444" s="92"/>
      <c r="AD444" s="93"/>
      <c r="AE444" s="93"/>
    </row>
    <row r="445" ht="13.5" customHeight="1">
      <c r="A445" s="90"/>
      <c r="H445" s="91"/>
      <c r="I445" s="91"/>
      <c r="J445" s="91"/>
      <c r="S445" s="92"/>
      <c r="AD445" s="93"/>
      <c r="AE445" s="93"/>
    </row>
    <row r="446" ht="13.5" customHeight="1">
      <c r="A446" s="90"/>
      <c r="H446" s="91"/>
      <c r="I446" s="91"/>
      <c r="J446" s="91"/>
      <c r="S446" s="92"/>
      <c r="AD446" s="93"/>
      <c r="AE446" s="93"/>
    </row>
    <row r="447" ht="13.5" customHeight="1">
      <c r="A447" s="90"/>
      <c r="H447" s="91"/>
      <c r="I447" s="91"/>
      <c r="J447" s="91"/>
      <c r="S447" s="92"/>
      <c r="AD447" s="93"/>
      <c r="AE447" s="93"/>
    </row>
    <row r="448" ht="13.5" customHeight="1">
      <c r="A448" s="90"/>
      <c r="H448" s="91"/>
      <c r="I448" s="91"/>
      <c r="J448" s="91"/>
      <c r="S448" s="92"/>
      <c r="AD448" s="93"/>
      <c r="AE448" s="93"/>
    </row>
    <row r="449" ht="13.5" customHeight="1">
      <c r="A449" s="90"/>
      <c r="H449" s="91"/>
      <c r="I449" s="91"/>
      <c r="J449" s="91"/>
      <c r="S449" s="92"/>
      <c r="AD449" s="93"/>
      <c r="AE449" s="93"/>
    </row>
    <row r="450" ht="13.5" customHeight="1">
      <c r="A450" s="90"/>
      <c r="H450" s="91"/>
      <c r="I450" s="91"/>
      <c r="J450" s="91"/>
      <c r="S450" s="92"/>
      <c r="AD450" s="93"/>
      <c r="AE450" s="93"/>
    </row>
    <row r="451" ht="13.5" customHeight="1">
      <c r="A451" s="90"/>
      <c r="H451" s="91"/>
      <c r="I451" s="91"/>
      <c r="J451" s="91"/>
      <c r="S451" s="92"/>
      <c r="AD451" s="93"/>
      <c r="AE451" s="93"/>
    </row>
    <row r="452" ht="13.5" customHeight="1">
      <c r="A452" s="90"/>
      <c r="H452" s="91"/>
      <c r="I452" s="91"/>
      <c r="J452" s="91"/>
      <c r="S452" s="92"/>
      <c r="AD452" s="93"/>
      <c r="AE452" s="93"/>
    </row>
    <row r="453" ht="13.5" customHeight="1">
      <c r="A453" s="90"/>
      <c r="H453" s="91"/>
      <c r="I453" s="91"/>
      <c r="J453" s="91"/>
      <c r="S453" s="92"/>
      <c r="AD453" s="93"/>
      <c r="AE453" s="93"/>
    </row>
    <row r="454" ht="13.5" customHeight="1">
      <c r="A454" s="90"/>
      <c r="H454" s="91"/>
      <c r="I454" s="91"/>
      <c r="J454" s="91"/>
      <c r="S454" s="92"/>
      <c r="AD454" s="93"/>
      <c r="AE454" s="93"/>
    </row>
    <row r="455" ht="13.5" customHeight="1">
      <c r="A455" s="90"/>
      <c r="H455" s="91"/>
      <c r="I455" s="91"/>
      <c r="J455" s="91"/>
      <c r="S455" s="92"/>
      <c r="AD455" s="93"/>
      <c r="AE455" s="93"/>
    </row>
    <row r="456" ht="13.5" customHeight="1">
      <c r="A456" s="90"/>
      <c r="H456" s="91"/>
      <c r="I456" s="91"/>
      <c r="J456" s="91"/>
      <c r="S456" s="92"/>
      <c r="AD456" s="93"/>
      <c r="AE456" s="93"/>
    </row>
    <row r="457" ht="13.5" customHeight="1">
      <c r="A457" s="90"/>
      <c r="H457" s="91"/>
      <c r="I457" s="91"/>
      <c r="J457" s="91"/>
      <c r="S457" s="92"/>
      <c r="AD457" s="93"/>
      <c r="AE457" s="93"/>
    </row>
    <row r="458" ht="13.5" customHeight="1">
      <c r="A458" s="90"/>
      <c r="H458" s="91"/>
      <c r="I458" s="91"/>
      <c r="J458" s="91"/>
      <c r="S458" s="92"/>
      <c r="AD458" s="93"/>
      <c r="AE458" s="93"/>
    </row>
    <row r="459" ht="13.5" customHeight="1">
      <c r="A459" s="90"/>
      <c r="H459" s="91"/>
      <c r="I459" s="91"/>
      <c r="J459" s="91"/>
      <c r="S459" s="92"/>
      <c r="AD459" s="93"/>
      <c r="AE459" s="93"/>
    </row>
    <row r="460" ht="13.5" customHeight="1">
      <c r="A460" s="90"/>
      <c r="H460" s="91"/>
      <c r="I460" s="91"/>
      <c r="J460" s="91"/>
      <c r="S460" s="92"/>
      <c r="AD460" s="93"/>
      <c r="AE460" s="93"/>
    </row>
    <row r="461" ht="13.5" customHeight="1">
      <c r="A461" s="90"/>
      <c r="H461" s="91"/>
      <c r="I461" s="91"/>
      <c r="J461" s="91"/>
      <c r="S461" s="92"/>
      <c r="AD461" s="93"/>
      <c r="AE461" s="93"/>
    </row>
    <row r="462" ht="13.5" customHeight="1">
      <c r="A462" s="90"/>
      <c r="H462" s="91"/>
      <c r="I462" s="91"/>
      <c r="J462" s="91"/>
      <c r="S462" s="92"/>
      <c r="AD462" s="93"/>
      <c r="AE462" s="93"/>
    </row>
    <row r="463" ht="13.5" customHeight="1">
      <c r="A463" s="90"/>
      <c r="H463" s="91"/>
      <c r="I463" s="91"/>
      <c r="J463" s="91"/>
      <c r="S463" s="92"/>
      <c r="AD463" s="93"/>
      <c r="AE463" s="93"/>
    </row>
    <row r="464" ht="13.5" customHeight="1">
      <c r="A464" s="90"/>
      <c r="H464" s="91"/>
      <c r="I464" s="91"/>
      <c r="J464" s="91"/>
      <c r="S464" s="92"/>
      <c r="AD464" s="93"/>
      <c r="AE464" s="93"/>
    </row>
    <row r="465" ht="13.5" customHeight="1">
      <c r="A465" s="90"/>
      <c r="H465" s="91"/>
      <c r="I465" s="91"/>
      <c r="J465" s="91"/>
      <c r="S465" s="92"/>
      <c r="AD465" s="93"/>
      <c r="AE465" s="93"/>
    </row>
    <row r="466" ht="13.5" customHeight="1">
      <c r="A466" s="90"/>
      <c r="H466" s="91"/>
      <c r="I466" s="91"/>
      <c r="J466" s="91"/>
      <c r="S466" s="92"/>
      <c r="AD466" s="93"/>
      <c r="AE466" s="93"/>
    </row>
    <row r="467" ht="13.5" customHeight="1">
      <c r="A467" s="90"/>
      <c r="H467" s="91"/>
      <c r="I467" s="91"/>
      <c r="J467" s="91"/>
      <c r="S467" s="92"/>
      <c r="AD467" s="93"/>
      <c r="AE467" s="93"/>
    </row>
    <row r="468" ht="13.5" customHeight="1">
      <c r="A468" s="90"/>
      <c r="H468" s="91"/>
      <c r="I468" s="91"/>
      <c r="J468" s="91"/>
      <c r="S468" s="92"/>
      <c r="AD468" s="93"/>
      <c r="AE468" s="93"/>
    </row>
    <row r="469" ht="13.5" customHeight="1">
      <c r="A469" s="90"/>
      <c r="H469" s="91"/>
      <c r="I469" s="91"/>
      <c r="J469" s="91"/>
      <c r="S469" s="92"/>
      <c r="AD469" s="93"/>
      <c r="AE469" s="93"/>
    </row>
    <row r="470" ht="13.5" customHeight="1">
      <c r="A470" s="90"/>
      <c r="H470" s="91"/>
      <c r="I470" s="91"/>
      <c r="J470" s="91"/>
      <c r="S470" s="92"/>
      <c r="AD470" s="93"/>
      <c r="AE470" s="93"/>
    </row>
    <row r="471" ht="13.5" customHeight="1">
      <c r="A471" s="90"/>
      <c r="H471" s="91"/>
      <c r="I471" s="91"/>
      <c r="J471" s="91"/>
      <c r="S471" s="92"/>
      <c r="AD471" s="93"/>
      <c r="AE471" s="93"/>
    </row>
    <row r="472" ht="13.5" customHeight="1">
      <c r="A472" s="90"/>
      <c r="H472" s="91"/>
      <c r="I472" s="91"/>
      <c r="J472" s="91"/>
      <c r="S472" s="92"/>
      <c r="AD472" s="93"/>
      <c r="AE472" s="93"/>
    </row>
    <row r="473" ht="13.5" customHeight="1">
      <c r="A473" s="90"/>
      <c r="H473" s="91"/>
      <c r="I473" s="91"/>
      <c r="J473" s="91"/>
      <c r="S473" s="92"/>
      <c r="AD473" s="93"/>
      <c r="AE473" s="93"/>
    </row>
    <row r="474" ht="13.5" customHeight="1">
      <c r="A474" s="90"/>
      <c r="H474" s="91"/>
      <c r="I474" s="91"/>
      <c r="J474" s="91"/>
      <c r="S474" s="92"/>
      <c r="AD474" s="93"/>
      <c r="AE474" s="93"/>
    </row>
    <row r="475" ht="13.5" customHeight="1">
      <c r="A475" s="90"/>
      <c r="H475" s="91"/>
      <c r="I475" s="91"/>
      <c r="J475" s="91"/>
      <c r="S475" s="92"/>
      <c r="AD475" s="93"/>
      <c r="AE475" s="93"/>
    </row>
    <row r="476" ht="13.5" customHeight="1">
      <c r="A476" s="90"/>
      <c r="H476" s="91"/>
      <c r="I476" s="91"/>
      <c r="J476" s="91"/>
      <c r="S476" s="92"/>
      <c r="AD476" s="93"/>
      <c r="AE476" s="93"/>
    </row>
    <row r="477" ht="13.5" customHeight="1">
      <c r="A477" s="90"/>
      <c r="H477" s="91"/>
      <c r="I477" s="91"/>
      <c r="J477" s="91"/>
      <c r="S477" s="92"/>
      <c r="AD477" s="93"/>
      <c r="AE477" s="93"/>
    </row>
    <row r="478" ht="13.5" customHeight="1">
      <c r="A478" s="90"/>
      <c r="H478" s="91"/>
      <c r="I478" s="91"/>
      <c r="J478" s="91"/>
      <c r="S478" s="92"/>
      <c r="AD478" s="93"/>
      <c r="AE478" s="93"/>
    </row>
    <row r="479" ht="13.5" customHeight="1">
      <c r="A479" s="90"/>
      <c r="H479" s="91"/>
      <c r="I479" s="91"/>
      <c r="J479" s="91"/>
      <c r="S479" s="92"/>
      <c r="AD479" s="93"/>
      <c r="AE479" s="93"/>
    </row>
    <row r="480" ht="13.5" customHeight="1">
      <c r="A480" s="90"/>
      <c r="H480" s="91"/>
      <c r="I480" s="91"/>
      <c r="J480" s="91"/>
      <c r="S480" s="92"/>
      <c r="AD480" s="93"/>
      <c r="AE480" s="93"/>
    </row>
    <row r="481" ht="13.5" customHeight="1">
      <c r="A481" s="90"/>
      <c r="H481" s="91"/>
      <c r="I481" s="91"/>
      <c r="J481" s="91"/>
      <c r="S481" s="92"/>
      <c r="AD481" s="93"/>
      <c r="AE481" s="93"/>
    </row>
    <row r="482" ht="13.5" customHeight="1">
      <c r="A482" s="90"/>
      <c r="H482" s="91"/>
      <c r="I482" s="91"/>
      <c r="J482" s="91"/>
      <c r="S482" s="92"/>
      <c r="AD482" s="93"/>
      <c r="AE482" s="93"/>
    </row>
    <row r="483" ht="13.5" customHeight="1">
      <c r="A483" s="90"/>
      <c r="H483" s="91"/>
      <c r="I483" s="91"/>
      <c r="J483" s="91"/>
      <c r="S483" s="92"/>
      <c r="AD483" s="93"/>
      <c r="AE483" s="93"/>
    </row>
    <row r="484" ht="13.5" customHeight="1">
      <c r="A484" s="90"/>
      <c r="H484" s="91"/>
      <c r="I484" s="91"/>
      <c r="J484" s="91"/>
      <c r="S484" s="92"/>
      <c r="AD484" s="93"/>
      <c r="AE484" s="93"/>
    </row>
    <row r="485" ht="13.5" customHeight="1">
      <c r="A485" s="90"/>
      <c r="H485" s="91"/>
      <c r="I485" s="91"/>
      <c r="J485" s="91"/>
      <c r="S485" s="92"/>
      <c r="AD485" s="93"/>
      <c r="AE485" s="93"/>
    </row>
    <row r="486" ht="13.5" customHeight="1">
      <c r="A486" s="90"/>
      <c r="H486" s="91"/>
      <c r="I486" s="91"/>
      <c r="J486" s="91"/>
      <c r="S486" s="92"/>
      <c r="AD486" s="93"/>
      <c r="AE486" s="93"/>
    </row>
    <row r="487" ht="13.5" customHeight="1">
      <c r="A487" s="90"/>
      <c r="H487" s="91"/>
      <c r="I487" s="91"/>
      <c r="J487" s="91"/>
      <c r="S487" s="92"/>
      <c r="AD487" s="93"/>
      <c r="AE487" s="93"/>
    </row>
    <row r="488" ht="13.5" customHeight="1">
      <c r="A488" s="90"/>
      <c r="H488" s="91"/>
      <c r="I488" s="91"/>
      <c r="J488" s="91"/>
      <c r="S488" s="92"/>
      <c r="AD488" s="93"/>
      <c r="AE488" s="93"/>
    </row>
    <row r="489" ht="13.5" customHeight="1">
      <c r="A489" s="90"/>
      <c r="H489" s="91"/>
      <c r="I489" s="91"/>
      <c r="J489" s="91"/>
      <c r="S489" s="92"/>
      <c r="AD489" s="93"/>
      <c r="AE489" s="93"/>
    </row>
    <row r="490" ht="13.5" customHeight="1">
      <c r="A490" s="90"/>
      <c r="H490" s="91"/>
      <c r="I490" s="91"/>
      <c r="J490" s="91"/>
      <c r="S490" s="92"/>
      <c r="AD490" s="93"/>
      <c r="AE490" s="93"/>
    </row>
    <row r="491" ht="13.5" customHeight="1">
      <c r="A491" s="90"/>
      <c r="H491" s="91"/>
      <c r="I491" s="91"/>
      <c r="J491" s="91"/>
      <c r="S491" s="92"/>
      <c r="AD491" s="93"/>
      <c r="AE491" s="93"/>
    </row>
    <row r="492" ht="13.5" customHeight="1">
      <c r="A492" s="90"/>
      <c r="H492" s="91"/>
      <c r="I492" s="91"/>
      <c r="J492" s="91"/>
      <c r="S492" s="92"/>
      <c r="AD492" s="93"/>
      <c r="AE492" s="93"/>
    </row>
    <row r="493" ht="13.5" customHeight="1">
      <c r="A493" s="90"/>
      <c r="H493" s="91"/>
      <c r="I493" s="91"/>
      <c r="J493" s="91"/>
      <c r="S493" s="92"/>
      <c r="AD493" s="93"/>
      <c r="AE493" s="93"/>
    </row>
    <row r="494" ht="13.5" customHeight="1">
      <c r="A494" s="90"/>
      <c r="H494" s="91"/>
      <c r="I494" s="91"/>
      <c r="J494" s="91"/>
      <c r="S494" s="92"/>
      <c r="AD494" s="93"/>
      <c r="AE494" s="93"/>
    </row>
    <row r="495" ht="13.5" customHeight="1">
      <c r="A495" s="90"/>
      <c r="H495" s="91"/>
      <c r="I495" s="91"/>
      <c r="J495" s="91"/>
      <c r="S495" s="92"/>
      <c r="AD495" s="93"/>
      <c r="AE495" s="93"/>
    </row>
    <row r="496" ht="13.5" customHeight="1">
      <c r="A496" s="90"/>
      <c r="H496" s="91"/>
      <c r="I496" s="91"/>
      <c r="J496" s="91"/>
      <c r="S496" s="92"/>
      <c r="AD496" s="93"/>
      <c r="AE496" s="93"/>
    </row>
    <row r="497" ht="13.5" customHeight="1">
      <c r="A497" s="90"/>
      <c r="H497" s="91"/>
      <c r="I497" s="91"/>
      <c r="J497" s="91"/>
      <c r="S497" s="92"/>
      <c r="AD497" s="93"/>
      <c r="AE497" s="93"/>
    </row>
    <row r="498" ht="13.5" customHeight="1">
      <c r="A498" s="90"/>
      <c r="H498" s="91"/>
      <c r="I498" s="91"/>
      <c r="J498" s="91"/>
      <c r="S498" s="92"/>
      <c r="AD498" s="93"/>
      <c r="AE498" s="93"/>
    </row>
    <row r="499" ht="13.5" customHeight="1">
      <c r="A499" s="90"/>
      <c r="H499" s="91"/>
      <c r="I499" s="91"/>
      <c r="J499" s="91"/>
      <c r="S499" s="92"/>
      <c r="AD499" s="93"/>
      <c r="AE499" s="93"/>
    </row>
    <row r="500" ht="13.5" customHeight="1">
      <c r="A500" s="90"/>
      <c r="H500" s="91"/>
      <c r="I500" s="91"/>
      <c r="J500" s="91"/>
      <c r="S500" s="92"/>
      <c r="AD500" s="93"/>
      <c r="AE500" s="93"/>
    </row>
    <row r="501" ht="13.5" customHeight="1">
      <c r="A501" s="90"/>
      <c r="H501" s="91"/>
      <c r="I501" s="91"/>
      <c r="J501" s="91"/>
      <c r="S501" s="92"/>
      <c r="AD501" s="93"/>
      <c r="AE501" s="93"/>
    </row>
    <row r="502" ht="13.5" customHeight="1">
      <c r="A502" s="90"/>
      <c r="H502" s="91"/>
      <c r="I502" s="91"/>
      <c r="J502" s="91"/>
      <c r="S502" s="92"/>
      <c r="AD502" s="93"/>
      <c r="AE502" s="93"/>
    </row>
    <row r="503" ht="13.5" customHeight="1">
      <c r="A503" s="90"/>
      <c r="H503" s="91"/>
      <c r="I503" s="91"/>
      <c r="J503" s="91"/>
      <c r="S503" s="92"/>
      <c r="AD503" s="93"/>
      <c r="AE503" s="93"/>
    </row>
    <row r="504" ht="13.5" customHeight="1">
      <c r="A504" s="90"/>
      <c r="H504" s="91"/>
      <c r="I504" s="91"/>
      <c r="J504" s="91"/>
      <c r="S504" s="92"/>
      <c r="AD504" s="93"/>
      <c r="AE504" s="93"/>
    </row>
    <row r="505" ht="13.5" customHeight="1">
      <c r="A505" s="90"/>
      <c r="H505" s="91"/>
      <c r="I505" s="91"/>
      <c r="J505" s="91"/>
      <c r="S505" s="92"/>
      <c r="AD505" s="93"/>
      <c r="AE505" s="93"/>
    </row>
    <row r="506" ht="13.5" customHeight="1">
      <c r="A506" s="90"/>
      <c r="H506" s="91"/>
      <c r="I506" s="91"/>
      <c r="J506" s="91"/>
      <c r="S506" s="92"/>
      <c r="AD506" s="93"/>
      <c r="AE506" s="93"/>
    </row>
    <row r="507" ht="13.5" customHeight="1">
      <c r="A507" s="90"/>
      <c r="H507" s="91"/>
      <c r="I507" s="91"/>
      <c r="J507" s="91"/>
      <c r="S507" s="92"/>
      <c r="AD507" s="93"/>
      <c r="AE507" s="93"/>
    </row>
    <row r="508" ht="13.5" customHeight="1">
      <c r="A508" s="90"/>
      <c r="H508" s="91"/>
      <c r="I508" s="91"/>
      <c r="J508" s="91"/>
      <c r="S508" s="92"/>
      <c r="AD508" s="93"/>
      <c r="AE508" s="93"/>
    </row>
    <row r="509" ht="13.5" customHeight="1">
      <c r="A509" s="90"/>
      <c r="H509" s="91"/>
      <c r="I509" s="91"/>
      <c r="J509" s="91"/>
      <c r="S509" s="92"/>
      <c r="AD509" s="93"/>
      <c r="AE509" s="93"/>
    </row>
    <row r="510" ht="13.5" customHeight="1">
      <c r="A510" s="90"/>
      <c r="H510" s="91"/>
      <c r="I510" s="91"/>
      <c r="J510" s="91"/>
      <c r="S510" s="92"/>
      <c r="AD510" s="93"/>
      <c r="AE510" s="93"/>
    </row>
    <row r="511" ht="13.5" customHeight="1">
      <c r="A511" s="90"/>
      <c r="H511" s="91"/>
      <c r="I511" s="91"/>
      <c r="J511" s="91"/>
      <c r="S511" s="92"/>
      <c r="AD511" s="93"/>
      <c r="AE511" s="93"/>
    </row>
    <row r="512" ht="13.5" customHeight="1">
      <c r="A512" s="90"/>
      <c r="H512" s="91"/>
      <c r="I512" s="91"/>
      <c r="J512" s="91"/>
      <c r="S512" s="92"/>
      <c r="AD512" s="93"/>
      <c r="AE512" s="93"/>
    </row>
    <row r="513" ht="13.5" customHeight="1">
      <c r="A513" s="90"/>
      <c r="H513" s="91"/>
      <c r="I513" s="91"/>
      <c r="J513" s="91"/>
      <c r="S513" s="92"/>
      <c r="AD513" s="93"/>
      <c r="AE513" s="93"/>
    </row>
    <row r="514" ht="13.5" customHeight="1">
      <c r="A514" s="90"/>
      <c r="H514" s="91"/>
      <c r="I514" s="91"/>
      <c r="J514" s="91"/>
      <c r="S514" s="92"/>
      <c r="AD514" s="93"/>
      <c r="AE514" s="93"/>
    </row>
    <row r="515" ht="13.5" customHeight="1">
      <c r="A515" s="90"/>
      <c r="H515" s="91"/>
      <c r="I515" s="91"/>
      <c r="J515" s="91"/>
      <c r="S515" s="92"/>
      <c r="AD515" s="93"/>
      <c r="AE515" s="93"/>
    </row>
    <row r="516" ht="13.5" customHeight="1">
      <c r="A516" s="90"/>
      <c r="H516" s="91"/>
      <c r="I516" s="91"/>
      <c r="J516" s="91"/>
      <c r="S516" s="92"/>
      <c r="AD516" s="93"/>
      <c r="AE516" s="93"/>
    </row>
    <row r="517" ht="13.5" customHeight="1">
      <c r="A517" s="90"/>
      <c r="H517" s="91"/>
      <c r="I517" s="91"/>
      <c r="J517" s="91"/>
      <c r="S517" s="92"/>
      <c r="AD517" s="93"/>
      <c r="AE517" s="93"/>
    </row>
    <row r="518" ht="13.5" customHeight="1">
      <c r="A518" s="90"/>
      <c r="H518" s="91"/>
      <c r="I518" s="91"/>
      <c r="J518" s="91"/>
      <c r="S518" s="92"/>
      <c r="AD518" s="93"/>
      <c r="AE518" s="93"/>
    </row>
    <row r="519" ht="13.5" customHeight="1">
      <c r="A519" s="90"/>
      <c r="H519" s="91"/>
      <c r="I519" s="91"/>
      <c r="J519" s="91"/>
      <c r="S519" s="92"/>
      <c r="AD519" s="93"/>
      <c r="AE519" s="93"/>
    </row>
    <row r="520" ht="13.5" customHeight="1">
      <c r="A520" s="90"/>
      <c r="H520" s="91"/>
      <c r="I520" s="91"/>
      <c r="J520" s="91"/>
      <c r="S520" s="92"/>
      <c r="AD520" s="93"/>
      <c r="AE520" s="93"/>
    </row>
    <row r="521" ht="13.5" customHeight="1">
      <c r="A521" s="90"/>
      <c r="H521" s="91"/>
      <c r="I521" s="91"/>
      <c r="J521" s="91"/>
      <c r="S521" s="92"/>
      <c r="AD521" s="93"/>
      <c r="AE521" s="93"/>
    </row>
    <row r="522" ht="13.5" customHeight="1">
      <c r="A522" s="90"/>
      <c r="H522" s="91"/>
      <c r="I522" s="91"/>
      <c r="J522" s="91"/>
      <c r="S522" s="92"/>
      <c r="AD522" s="93"/>
      <c r="AE522" s="93"/>
    </row>
    <row r="523" ht="13.5" customHeight="1">
      <c r="A523" s="90"/>
      <c r="H523" s="91"/>
      <c r="I523" s="91"/>
      <c r="J523" s="91"/>
      <c r="S523" s="92"/>
      <c r="AD523" s="93"/>
      <c r="AE523" s="93"/>
    </row>
    <row r="524" ht="13.5" customHeight="1">
      <c r="A524" s="90"/>
      <c r="H524" s="91"/>
      <c r="I524" s="91"/>
      <c r="J524" s="91"/>
      <c r="S524" s="92"/>
      <c r="AD524" s="93"/>
      <c r="AE524" s="93"/>
    </row>
    <row r="525" ht="13.5" customHeight="1">
      <c r="A525" s="90"/>
      <c r="H525" s="91"/>
      <c r="I525" s="91"/>
      <c r="J525" s="91"/>
      <c r="S525" s="92"/>
      <c r="AD525" s="93"/>
      <c r="AE525" s="93"/>
    </row>
    <row r="526" ht="13.5" customHeight="1">
      <c r="A526" s="90"/>
      <c r="H526" s="91"/>
      <c r="I526" s="91"/>
      <c r="J526" s="91"/>
      <c r="S526" s="92"/>
      <c r="AD526" s="93"/>
      <c r="AE526" s="93"/>
    </row>
    <row r="527" ht="13.5" customHeight="1">
      <c r="A527" s="90"/>
      <c r="H527" s="91"/>
      <c r="I527" s="91"/>
      <c r="J527" s="91"/>
      <c r="S527" s="92"/>
      <c r="AD527" s="93"/>
      <c r="AE527" s="93"/>
    </row>
    <row r="528" ht="13.5" customHeight="1">
      <c r="A528" s="90"/>
      <c r="H528" s="91"/>
      <c r="I528" s="91"/>
      <c r="J528" s="91"/>
      <c r="S528" s="92"/>
      <c r="AD528" s="93"/>
      <c r="AE528" s="93"/>
    </row>
    <row r="529" ht="13.5" customHeight="1">
      <c r="A529" s="90"/>
      <c r="H529" s="91"/>
      <c r="I529" s="91"/>
      <c r="J529" s="91"/>
      <c r="S529" s="92"/>
      <c r="AD529" s="93"/>
      <c r="AE529" s="93"/>
    </row>
    <row r="530" ht="13.5" customHeight="1">
      <c r="A530" s="90"/>
      <c r="H530" s="91"/>
      <c r="I530" s="91"/>
      <c r="J530" s="91"/>
      <c r="S530" s="92"/>
      <c r="AD530" s="93"/>
      <c r="AE530" s="93"/>
    </row>
    <row r="531" ht="13.5" customHeight="1">
      <c r="A531" s="90"/>
      <c r="H531" s="91"/>
      <c r="I531" s="91"/>
      <c r="J531" s="91"/>
      <c r="S531" s="92"/>
      <c r="AD531" s="93"/>
      <c r="AE531" s="93"/>
    </row>
    <row r="532" ht="13.5" customHeight="1">
      <c r="A532" s="90"/>
      <c r="H532" s="91"/>
      <c r="I532" s="91"/>
      <c r="J532" s="91"/>
      <c r="S532" s="92"/>
      <c r="AD532" s="93"/>
      <c r="AE532" s="93"/>
    </row>
    <row r="533" ht="13.5" customHeight="1">
      <c r="A533" s="90"/>
      <c r="H533" s="91"/>
      <c r="I533" s="91"/>
      <c r="J533" s="91"/>
      <c r="S533" s="92"/>
      <c r="AD533" s="93"/>
      <c r="AE533" s="93"/>
    </row>
    <row r="534" ht="13.5" customHeight="1">
      <c r="A534" s="90"/>
      <c r="H534" s="91"/>
      <c r="I534" s="91"/>
      <c r="J534" s="91"/>
      <c r="S534" s="92"/>
      <c r="AD534" s="93"/>
      <c r="AE534" s="93"/>
    </row>
    <row r="535" ht="13.5" customHeight="1">
      <c r="A535" s="90"/>
      <c r="H535" s="91"/>
      <c r="I535" s="91"/>
      <c r="J535" s="91"/>
      <c r="S535" s="92"/>
      <c r="AD535" s="93"/>
      <c r="AE535" s="93"/>
    </row>
    <row r="536" ht="13.5" customHeight="1">
      <c r="A536" s="90"/>
      <c r="H536" s="91"/>
      <c r="I536" s="91"/>
      <c r="J536" s="91"/>
      <c r="S536" s="92"/>
      <c r="AD536" s="93"/>
      <c r="AE536" s="93"/>
    </row>
    <row r="537" ht="13.5" customHeight="1">
      <c r="A537" s="90"/>
      <c r="H537" s="91"/>
      <c r="I537" s="91"/>
      <c r="J537" s="91"/>
      <c r="S537" s="92"/>
      <c r="AD537" s="93"/>
      <c r="AE537" s="93"/>
    </row>
    <row r="538" ht="13.5" customHeight="1">
      <c r="A538" s="90"/>
      <c r="H538" s="91"/>
      <c r="I538" s="91"/>
      <c r="J538" s="91"/>
      <c r="S538" s="92"/>
      <c r="AD538" s="93"/>
      <c r="AE538" s="93"/>
    </row>
    <row r="539" ht="13.5" customHeight="1">
      <c r="A539" s="90"/>
      <c r="H539" s="91"/>
      <c r="I539" s="91"/>
      <c r="J539" s="91"/>
      <c r="S539" s="92"/>
      <c r="AD539" s="93"/>
      <c r="AE539" s="93"/>
    </row>
    <row r="540" ht="13.5" customHeight="1">
      <c r="A540" s="90"/>
      <c r="H540" s="91"/>
      <c r="I540" s="91"/>
      <c r="J540" s="91"/>
      <c r="S540" s="92"/>
      <c r="AD540" s="93"/>
      <c r="AE540" s="93"/>
    </row>
    <row r="541" ht="13.5" customHeight="1">
      <c r="A541" s="90"/>
      <c r="H541" s="91"/>
      <c r="I541" s="91"/>
      <c r="J541" s="91"/>
      <c r="S541" s="92"/>
      <c r="AD541" s="93"/>
      <c r="AE541" s="93"/>
    </row>
    <row r="542" ht="13.5" customHeight="1">
      <c r="A542" s="90"/>
      <c r="H542" s="91"/>
      <c r="I542" s="91"/>
      <c r="J542" s="91"/>
      <c r="S542" s="92"/>
      <c r="AD542" s="93"/>
      <c r="AE542" s="93"/>
    </row>
    <row r="543" ht="13.5" customHeight="1">
      <c r="A543" s="90"/>
      <c r="H543" s="91"/>
      <c r="I543" s="91"/>
      <c r="J543" s="91"/>
      <c r="S543" s="92"/>
      <c r="AD543" s="93"/>
      <c r="AE543" s="93"/>
    </row>
    <row r="544" ht="13.5" customHeight="1">
      <c r="A544" s="90"/>
      <c r="H544" s="91"/>
      <c r="I544" s="91"/>
      <c r="J544" s="91"/>
      <c r="S544" s="92"/>
      <c r="AD544" s="93"/>
      <c r="AE544" s="93"/>
    </row>
    <row r="545" ht="13.5" customHeight="1">
      <c r="A545" s="90"/>
      <c r="H545" s="91"/>
      <c r="I545" s="91"/>
      <c r="J545" s="91"/>
      <c r="S545" s="92"/>
      <c r="AD545" s="93"/>
      <c r="AE545" s="93"/>
    </row>
    <row r="546" ht="13.5" customHeight="1">
      <c r="A546" s="90"/>
      <c r="H546" s="91"/>
      <c r="I546" s="91"/>
      <c r="J546" s="91"/>
      <c r="S546" s="92"/>
      <c r="AD546" s="93"/>
      <c r="AE546" s="93"/>
    </row>
    <row r="547" ht="13.5" customHeight="1">
      <c r="A547" s="90"/>
      <c r="H547" s="91"/>
      <c r="I547" s="91"/>
      <c r="J547" s="91"/>
      <c r="S547" s="92"/>
      <c r="AD547" s="93"/>
      <c r="AE547" s="93"/>
    </row>
    <row r="548" ht="13.5" customHeight="1">
      <c r="A548" s="90"/>
      <c r="H548" s="91"/>
      <c r="I548" s="91"/>
      <c r="J548" s="91"/>
      <c r="S548" s="92"/>
      <c r="AD548" s="93"/>
      <c r="AE548" s="93"/>
    </row>
    <row r="549" ht="13.5" customHeight="1">
      <c r="A549" s="90"/>
      <c r="H549" s="91"/>
      <c r="I549" s="91"/>
      <c r="J549" s="91"/>
      <c r="S549" s="92"/>
      <c r="AD549" s="93"/>
      <c r="AE549" s="93"/>
    </row>
    <row r="550" ht="13.5" customHeight="1">
      <c r="A550" s="90"/>
      <c r="H550" s="91"/>
      <c r="I550" s="91"/>
      <c r="J550" s="91"/>
      <c r="S550" s="92"/>
      <c r="AD550" s="93"/>
      <c r="AE550" s="93"/>
    </row>
    <row r="551" ht="13.5" customHeight="1">
      <c r="A551" s="90"/>
      <c r="H551" s="91"/>
      <c r="I551" s="91"/>
      <c r="J551" s="91"/>
      <c r="S551" s="92"/>
      <c r="AD551" s="93"/>
      <c r="AE551" s="93"/>
    </row>
    <row r="552" ht="13.5" customHeight="1">
      <c r="A552" s="90"/>
      <c r="H552" s="91"/>
      <c r="I552" s="91"/>
      <c r="J552" s="91"/>
      <c r="S552" s="92"/>
      <c r="AD552" s="93"/>
      <c r="AE552" s="93"/>
    </row>
    <row r="553" ht="13.5" customHeight="1">
      <c r="A553" s="90"/>
      <c r="H553" s="91"/>
      <c r="I553" s="91"/>
      <c r="J553" s="91"/>
      <c r="S553" s="92"/>
      <c r="AD553" s="93"/>
      <c r="AE553" s="93"/>
    </row>
    <row r="554" ht="13.5" customHeight="1">
      <c r="A554" s="90"/>
      <c r="H554" s="91"/>
      <c r="I554" s="91"/>
      <c r="J554" s="91"/>
      <c r="S554" s="92"/>
      <c r="AD554" s="93"/>
      <c r="AE554" s="93"/>
    </row>
    <row r="555" ht="13.5" customHeight="1">
      <c r="A555" s="90"/>
      <c r="H555" s="91"/>
      <c r="I555" s="91"/>
      <c r="J555" s="91"/>
      <c r="S555" s="92"/>
      <c r="AD555" s="93"/>
      <c r="AE555" s="93"/>
    </row>
    <row r="556" ht="13.5" customHeight="1">
      <c r="A556" s="90"/>
      <c r="H556" s="91"/>
      <c r="I556" s="91"/>
      <c r="J556" s="91"/>
      <c r="S556" s="92"/>
      <c r="AD556" s="93"/>
      <c r="AE556" s="93"/>
    </row>
    <row r="557" ht="13.5" customHeight="1">
      <c r="A557" s="90"/>
      <c r="H557" s="91"/>
      <c r="I557" s="91"/>
      <c r="J557" s="91"/>
      <c r="S557" s="92"/>
      <c r="AD557" s="93"/>
      <c r="AE557" s="93"/>
    </row>
    <row r="558" ht="13.5" customHeight="1">
      <c r="A558" s="90"/>
      <c r="H558" s="91"/>
      <c r="I558" s="91"/>
      <c r="J558" s="91"/>
      <c r="S558" s="92"/>
      <c r="AD558" s="93"/>
      <c r="AE558" s="93"/>
    </row>
    <row r="559" ht="13.5" customHeight="1">
      <c r="A559" s="90"/>
      <c r="H559" s="91"/>
      <c r="I559" s="91"/>
      <c r="J559" s="91"/>
      <c r="S559" s="92"/>
      <c r="AD559" s="93"/>
      <c r="AE559" s="93"/>
    </row>
    <row r="560" ht="13.5" customHeight="1">
      <c r="A560" s="90"/>
      <c r="H560" s="91"/>
      <c r="I560" s="91"/>
      <c r="J560" s="91"/>
      <c r="S560" s="92"/>
      <c r="AD560" s="93"/>
      <c r="AE560" s="93"/>
    </row>
    <row r="561" ht="13.5" customHeight="1">
      <c r="A561" s="90"/>
      <c r="H561" s="91"/>
      <c r="I561" s="91"/>
      <c r="J561" s="91"/>
      <c r="S561" s="92"/>
      <c r="AD561" s="93"/>
      <c r="AE561" s="93"/>
    </row>
    <row r="562" ht="13.5" customHeight="1">
      <c r="A562" s="90"/>
      <c r="H562" s="91"/>
      <c r="I562" s="91"/>
      <c r="J562" s="91"/>
      <c r="S562" s="92"/>
      <c r="AD562" s="93"/>
      <c r="AE562" s="93"/>
    </row>
    <row r="563" ht="13.5" customHeight="1">
      <c r="A563" s="90"/>
      <c r="H563" s="91"/>
      <c r="I563" s="91"/>
      <c r="J563" s="91"/>
      <c r="S563" s="92"/>
      <c r="AD563" s="93"/>
      <c r="AE563" s="93"/>
    </row>
    <row r="564" ht="13.5" customHeight="1">
      <c r="A564" s="90"/>
      <c r="H564" s="91"/>
      <c r="I564" s="91"/>
      <c r="J564" s="91"/>
      <c r="S564" s="92"/>
      <c r="AD564" s="93"/>
      <c r="AE564" s="93"/>
    </row>
    <row r="565" ht="13.5" customHeight="1">
      <c r="A565" s="90"/>
      <c r="H565" s="91"/>
      <c r="I565" s="91"/>
      <c r="J565" s="91"/>
      <c r="S565" s="92"/>
      <c r="AD565" s="93"/>
      <c r="AE565" s="93"/>
    </row>
    <row r="566" ht="13.5" customHeight="1">
      <c r="A566" s="90"/>
      <c r="H566" s="91"/>
      <c r="I566" s="91"/>
      <c r="J566" s="91"/>
      <c r="S566" s="92"/>
      <c r="AD566" s="93"/>
      <c r="AE566" s="93"/>
    </row>
    <row r="567" ht="13.5" customHeight="1">
      <c r="A567" s="90"/>
      <c r="H567" s="91"/>
      <c r="I567" s="91"/>
      <c r="J567" s="91"/>
      <c r="S567" s="92"/>
      <c r="AD567" s="93"/>
      <c r="AE567" s="93"/>
    </row>
    <row r="568" ht="13.5" customHeight="1">
      <c r="A568" s="90"/>
      <c r="H568" s="91"/>
      <c r="I568" s="91"/>
      <c r="J568" s="91"/>
      <c r="S568" s="92"/>
      <c r="AD568" s="93"/>
      <c r="AE568" s="93"/>
    </row>
    <row r="569" ht="13.5" customHeight="1">
      <c r="A569" s="90"/>
      <c r="H569" s="91"/>
      <c r="I569" s="91"/>
      <c r="J569" s="91"/>
      <c r="S569" s="92"/>
      <c r="AD569" s="93"/>
      <c r="AE569" s="93"/>
    </row>
    <row r="570" ht="13.5" customHeight="1">
      <c r="A570" s="90"/>
      <c r="H570" s="91"/>
      <c r="I570" s="91"/>
      <c r="J570" s="91"/>
      <c r="S570" s="92"/>
      <c r="AD570" s="93"/>
      <c r="AE570" s="93"/>
    </row>
    <row r="571" ht="13.5" customHeight="1">
      <c r="A571" s="90"/>
      <c r="H571" s="91"/>
      <c r="I571" s="91"/>
      <c r="J571" s="91"/>
      <c r="S571" s="92"/>
      <c r="AD571" s="93"/>
      <c r="AE571" s="93"/>
    </row>
    <row r="572" ht="13.5" customHeight="1">
      <c r="A572" s="90"/>
      <c r="H572" s="91"/>
      <c r="I572" s="91"/>
      <c r="J572" s="91"/>
      <c r="S572" s="92"/>
      <c r="AD572" s="93"/>
      <c r="AE572" s="93"/>
    </row>
    <row r="573" ht="13.5" customHeight="1">
      <c r="A573" s="90"/>
      <c r="H573" s="91"/>
      <c r="I573" s="91"/>
      <c r="J573" s="91"/>
      <c r="S573" s="92"/>
      <c r="AD573" s="93"/>
      <c r="AE573" s="93"/>
    </row>
    <row r="574" ht="13.5" customHeight="1">
      <c r="A574" s="90"/>
      <c r="H574" s="91"/>
      <c r="I574" s="91"/>
      <c r="J574" s="91"/>
      <c r="S574" s="92"/>
      <c r="AD574" s="93"/>
      <c r="AE574" s="93"/>
    </row>
    <row r="575" ht="13.5" customHeight="1">
      <c r="A575" s="90"/>
      <c r="H575" s="91"/>
      <c r="I575" s="91"/>
      <c r="J575" s="91"/>
      <c r="S575" s="92"/>
      <c r="AD575" s="93"/>
      <c r="AE575" s="93"/>
    </row>
    <row r="576" ht="13.5" customHeight="1">
      <c r="A576" s="90"/>
      <c r="H576" s="91"/>
      <c r="I576" s="91"/>
      <c r="J576" s="91"/>
      <c r="S576" s="92"/>
      <c r="AD576" s="93"/>
      <c r="AE576" s="93"/>
    </row>
    <row r="577" ht="13.5" customHeight="1">
      <c r="A577" s="90"/>
      <c r="H577" s="91"/>
      <c r="I577" s="91"/>
      <c r="J577" s="91"/>
      <c r="S577" s="92"/>
      <c r="AD577" s="93"/>
      <c r="AE577" s="93"/>
    </row>
    <row r="578" ht="13.5" customHeight="1">
      <c r="A578" s="90"/>
      <c r="H578" s="91"/>
      <c r="I578" s="91"/>
      <c r="J578" s="91"/>
      <c r="S578" s="92"/>
      <c r="AD578" s="93"/>
      <c r="AE578" s="93"/>
    </row>
    <row r="579" ht="13.5" customHeight="1">
      <c r="A579" s="90"/>
      <c r="H579" s="91"/>
      <c r="I579" s="91"/>
      <c r="J579" s="91"/>
      <c r="S579" s="92"/>
      <c r="AD579" s="93"/>
      <c r="AE579" s="93"/>
    </row>
    <row r="580" ht="13.5" customHeight="1">
      <c r="A580" s="90"/>
      <c r="H580" s="91"/>
      <c r="I580" s="91"/>
      <c r="J580" s="91"/>
      <c r="S580" s="92"/>
      <c r="AD580" s="93"/>
      <c r="AE580" s="93"/>
    </row>
    <row r="581" ht="13.5" customHeight="1">
      <c r="A581" s="90"/>
      <c r="H581" s="91"/>
      <c r="I581" s="91"/>
      <c r="J581" s="91"/>
      <c r="S581" s="92"/>
      <c r="AD581" s="93"/>
      <c r="AE581" s="93"/>
    </row>
    <row r="582" ht="13.5" customHeight="1">
      <c r="A582" s="90"/>
      <c r="H582" s="91"/>
      <c r="I582" s="91"/>
      <c r="J582" s="91"/>
      <c r="S582" s="92"/>
      <c r="AD582" s="93"/>
      <c r="AE582" s="93"/>
    </row>
    <row r="583" ht="13.5" customHeight="1">
      <c r="A583" s="90"/>
      <c r="H583" s="91"/>
      <c r="I583" s="91"/>
      <c r="J583" s="91"/>
      <c r="S583" s="92"/>
      <c r="AD583" s="93"/>
      <c r="AE583" s="93"/>
    </row>
    <row r="584" ht="13.5" customHeight="1">
      <c r="A584" s="90"/>
      <c r="H584" s="91"/>
      <c r="I584" s="91"/>
      <c r="J584" s="91"/>
      <c r="S584" s="92"/>
      <c r="AD584" s="93"/>
      <c r="AE584" s="93"/>
    </row>
    <row r="585" ht="13.5" customHeight="1">
      <c r="A585" s="90"/>
      <c r="H585" s="91"/>
      <c r="I585" s="91"/>
      <c r="J585" s="91"/>
      <c r="S585" s="92"/>
      <c r="AD585" s="93"/>
      <c r="AE585" s="93"/>
    </row>
    <row r="586" ht="13.5" customHeight="1">
      <c r="A586" s="90"/>
      <c r="H586" s="91"/>
      <c r="I586" s="91"/>
      <c r="J586" s="91"/>
      <c r="S586" s="92"/>
      <c r="AD586" s="93"/>
      <c r="AE586" s="93"/>
    </row>
    <row r="587" ht="13.5" customHeight="1">
      <c r="A587" s="90"/>
      <c r="H587" s="91"/>
      <c r="I587" s="91"/>
      <c r="J587" s="91"/>
      <c r="S587" s="92"/>
      <c r="AD587" s="93"/>
      <c r="AE587" s="93"/>
    </row>
    <row r="588" ht="13.5" customHeight="1">
      <c r="A588" s="90"/>
      <c r="H588" s="91"/>
      <c r="I588" s="91"/>
      <c r="J588" s="91"/>
      <c r="S588" s="92"/>
      <c r="AD588" s="93"/>
      <c r="AE588" s="93"/>
    </row>
    <row r="589" ht="13.5" customHeight="1">
      <c r="A589" s="90"/>
      <c r="H589" s="91"/>
      <c r="I589" s="91"/>
      <c r="J589" s="91"/>
      <c r="S589" s="92"/>
      <c r="AD589" s="93"/>
      <c r="AE589" s="93"/>
    </row>
    <row r="590" ht="13.5" customHeight="1">
      <c r="A590" s="90"/>
      <c r="H590" s="91"/>
      <c r="I590" s="91"/>
      <c r="J590" s="91"/>
      <c r="S590" s="92"/>
      <c r="AD590" s="93"/>
      <c r="AE590" s="93"/>
    </row>
    <row r="591" ht="13.5" customHeight="1">
      <c r="A591" s="90"/>
      <c r="H591" s="91"/>
      <c r="I591" s="91"/>
      <c r="J591" s="91"/>
      <c r="S591" s="92"/>
      <c r="AD591" s="93"/>
      <c r="AE591" s="93"/>
    </row>
    <row r="592" ht="13.5" customHeight="1">
      <c r="A592" s="90"/>
      <c r="H592" s="91"/>
      <c r="I592" s="91"/>
      <c r="J592" s="91"/>
      <c r="S592" s="92"/>
      <c r="AD592" s="93"/>
      <c r="AE592" s="93"/>
    </row>
    <row r="593" ht="13.5" customHeight="1">
      <c r="A593" s="90"/>
      <c r="H593" s="91"/>
      <c r="I593" s="91"/>
      <c r="J593" s="91"/>
      <c r="S593" s="92"/>
      <c r="AD593" s="93"/>
      <c r="AE593" s="93"/>
    </row>
    <row r="594" ht="13.5" customHeight="1">
      <c r="A594" s="90"/>
      <c r="H594" s="91"/>
      <c r="I594" s="91"/>
      <c r="J594" s="91"/>
      <c r="S594" s="92"/>
      <c r="AD594" s="93"/>
      <c r="AE594" s="93"/>
    </row>
    <row r="595" ht="13.5" customHeight="1">
      <c r="A595" s="90"/>
      <c r="H595" s="91"/>
      <c r="I595" s="91"/>
      <c r="J595" s="91"/>
      <c r="S595" s="92"/>
      <c r="AD595" s="93"/>
      <c r="AE595" s="93"/>
    </row>
    <row r="596" ht="13.5" customHeight="1">
      <c r="A596" s="90"/>
      <c r="H596" s="91"/>
      <c r="I596" s="91"/>
      <c r="J596" s="91"/>
      <c r="S596" s="92"/>
      <c r="AD596" s="93"/>
      <c r="AE596" s="93"/>
    </row>
    <row r="597" ht="13.5" customHeight="1">
      <c r="A597" s="90"/>
      <c r="H597" s="91"/>
      <c r="I597" s="91"/>
      <c r="J597" s="91"/>
      <c r="S597" s="92"/>
      <c r="AD597" s="93"/>
      <c r="AE597" s="93"/>
    </row>
    <row r="598" ht="13.5" customHeight="1">
      <c r="A598" s="90"/>
      <c r="H598" s="91"/>
      <c r="I598" s="91"/>
      <c r="J598" s="91"/>
      <c r="S598" s="92"/>
      <c r="AD598" s="93"/>
      <c r="AE598" s="93"/>
    </row>
    <row r="599" ht="13.5" customHeight="1">
      <c r="A599" s="90"/>
      <c r="H599" s="91"/>
      <c r="I599" s="91"/>
      <c r="J599" s="91"/>
      <c r="S599" s="92"/>
      <c r="AD599" s="93"/>
      <c r="AE599" s="93"/>
    </row>
    <row r="600" ht="13.5" customHeight="1">
      <c r="A600" s="90"/>
      <c r="H600" s="91"/>
      <c r="I600" s="91"/>
      <c r="J600" s="91"/>
      <c r="S600" s="92"/>
      <c r="AD600" s="93"/>
      <c r="AE600" s="93"/>
    </row>
    <row r="601" ht="13.5" customHeight="1">
      <c r="A601" s="90"/>
      <c r="H601" s="91"/>
      <c r="I601" s="91"/>
      <c r="J601" s="91"/>
      <c r="S601" s="92"/>
      <c r="AD601" s="93"/>
      <c r="AE601" s="93"/>
    </row>
    <row r="602" ht="13.5" customHeight="1">
      <c r="A602" s="90"/>
      <c r="H602" s="91"/>
      <c r="I602" s="91"/>
      <c r="J602" s="91"/>
      <c r="S602" s="92"/>
      <c r="AD602" s="93"/>
      <c r="AE602" s="93"/>
    </row>
    <row r="603" ht="13.5" customHeight="1">
      <c r="A603" s="90"/>
      <c r="H603" s="91"/>
      <c r="I603" s="91"/>
      <c r="J603" s="91"/>
      <c r="S603" s="92"/>
      <c r="AD603" s="93"/>
      <c r="AE603" s="93"/>
    </row>
    <row r="604" ht="13.5" customHeight="1">
      <c r="A604" s="90"/>
      <c r="H604" s="91"/>
      <c r="I604" s="91"/>
      <c r="J604" s="91"/>
      <c r="S604" s="92"/>
      <c r="AD604" s="93"/>
      <c r="AE604" s="93"/>
    </row>
    <row r="605" ht="13.5" customHeight="1">
      <c r="A605" s="90"/>
      <c r="H605" s="91"/>
      <c r="I605" s="91"/>
      <c r="J605" s="91"/>
      <c r="S605" s="92"/>
      <c r="AD605" s="93"/>
      <c r="AE605" s="93"/>
    </row>
    <row r="606" ht="13.5" customHeight="1">
      <c r="A606" s="90"/>
      <c r="H606" s="91"/>
      <c r="I606" s="91"/>
      <c r="J606" s="91"/>
      <c r="S606" s="92"/>
      <c r="AD606" s="93"/>
      <c r="AE606" s="93"/>
    </row>
    <row r="607" ht="13.5" customHeight="1">
      <c r="A607" s="90"/>
      <c r="H607" s="91"/>
      <c r="I607" s="91"/>
      <c r="J607" s="91"/>
      <c r="S607" s="92"/>
      <c r="AD607" s="93"/>
      <c r="AE607" s="93"/>
    </row>
    <row r="608" ht="13.5" customHeight="1">
      <c r="A608" s="90"/>
      <c r="H608" s="91"/>
      <c r="I608" s="91"/>
      <c r="J608" s="91"/>
      <c r="S608" s="92"/>
      <c r="AD608" s="93"/>
      <c r="AE608" s="93"/>
    </row>
    <row r="609" ht="13.5" customHeight="1">
      <c r="A609" s="90"/>
      <c r="H609" s="91"/>
      <c r="I609" s="91"/>
      <c r="J609" s="91"/>
      <c r="S609" s="92"/>
      <c r="AD609" s="93"/>
      <c r="AE609" s="93"/>
    </row>
    <row r="610" ht="13.5" customHeight="1">
      <c r="A610" s="90"/>
      <c r="H610" s="91"/>
      <c r="I610" s="91"/>
      <c r="J610" s="91"/>
      <c r="S610" s="92"/>
      <c r="AD610" s="93"/>
      <c r="AE610" s="93"/>
    </row>
    <row r="611" ht="13.5" customHeight="1">
      <c r="A611" s="90"/>
      <c r="H611" s="91"/>
      <c r="I611" s="91"/>
      <c r="J611" s="91"/>
      <c r="S611" s="92"/>
      <c r="AD611" s="93"/>
      <c r="AE611" s="93"/>
    </row>
    <row r="612" ht="13.5" customHeight="1">
      <c r="A612" s="90"/>
      <c r="H612" s="91"/>
      <c r="I612" s="91"/>
      <c r="J612" s="91"/>
      <c r="S612" s="92"/>
      <c r="AD612" s="93"/>
      <c r="AE612" s="93"/>
    </row>
    <row r="613" ht="13.5" customHeight="1">
      <c r="A613" s="90"/>
      <c r="H613" s="91"/>
      <c r="I613" s="91"/>
      <c r="J613" s="91"/>
      <c r="S613" s="92"/>
      <c r="AD613" s="93"/>
      <c r="AE613" s="93"/>
    </row>
    <row r="614" ht="13.5" customHeight="1">
      <c r="A614" s="90"/>
      <c r="H614" s="91"/>
      <c r="I614" s="91"/>
      <c r="J614" s="91"/>
      <c r="S614" s="92"/>
      <c r="AD614" s="93"/>
      <c r="AE614" s="93"/>
    </row>
    <row r="615" ht="13.5" customHeight="1">
      <c r="A615" s="90"/>
      <c r="H615" s="91"/>
      <c r="I615" s="91"/>
      <c r="J615" s="91"/>
      <c r="S615" s="92"/>
      <c r="AD615" s="93"/>
      <c r="AE615" s="93"/>
    </row>
    <row r="616" ht="13.5" customHeight="1">
      <c r="A616" s="90"/>
      <c r="H616" s="91"/>
      <c r="I616" s="91"/>
      <c r="J616" s="91"/>
      <c r="S616" s="92"/>
      <c r="AD616" s="93"/>
      <c r="AE616" s="93"/>
    </row>
    <row r="617" ht="13.5" customHeight="1">
      <c r="A617" s="90"/>
      <c r="H617" s="91"/>
      <c r="I617" s="91"/>
      <c r="J617" s="91"/>
      <c r="S617" s="92"/>
      <c r="AD617" s="93"/>
      <c r="AE617" s="93"/>
    </row>
    <row r="618" ht="13.5" customHeight="1">
      <c r="A618" s="90"/>
      <c r="H618" s="91"/>
      <c r="I618" s="91"/>
      <c r="J618" s="91"/>
      <c r="S618" s="92"/>
      <c r="AD618" s="93"/>
      <c r="AE618" s="93"/>
    </row>
    <row r="619" ht="13.5" customHeight="1">
      <c r="A619" s="90"/>
      <c r="H619" s="91"/>
      <c r="I619" s="91"/>
      <c r="J619" s="91"/>
      <c r="S619" s="92"/>
      <c r="AD619" s="93"/>
      <c r="AE619" s="93"/>
    </row>
    <row r="620" ht="13.5" customHeight="1">
      <c r="A620" s="90"/>
      <c r="H620" s="91"/>
      <c r="I620" s="91"/>
      <c r="J620" s="91"/>
      <c r="S620" s="92"/>
      <c r="AD620" s="93"/>
      <c r="AE620" s="93"/>
    </row>
    <row r="621" ht="13.5" customHeight="1">
      <c r="A621" s="90"/>
      <c r="H621" s="91"/>
      <c r="I621" s="91"/>
      <c r="J621" s="91"/>
      <c r="S621" s="92"/>
      <c r="AD621" s="93"/>
      <c r="AE621" s="93"/>
    </row>
    <row r="622" ht="13.5" customHeight="1">
      <c r="A622" s="90"/>
      <c r="H622" s="91"/>
      <c r="I622" s="91"/>
      <c r="J622" s="91"/>
      <c r="S622" s="92"/>
      <c r="AD622" s="93"/>
      <c r="AE622" s="93"/>
    </row>
    <row r="623" ht="13.5" customHeight="1">
      <c r="A623" s="90"/>
      <c r="H623" s="91"/>
      <c r="I623" s="91"/>
      <c r="J623" s="91"/>
      <c r="S623" s="92"/>
      <c r="AD623" s="93"/>
      <c r="AE623" s="93"/>
    </row>
    <row r="624" ht="13.5" customHeight="1">
      <c r="A624" s="90"/>
      <c r="H624" s="91"/>
      <c r="I624" s="91"/>
      <c r="J624" s="91"/>
      <c r="S624" s="92"/>
      <c r="AD624" s="93"/>
      <c r="AE624" s="93"/>
    </row>
    <row r="625" ht="13.5" customHeight="1">
      <c r="A625" s="90"/>
      <c r="H625" s="91"/>
      <c r="I625" s="91"/>
      <c r="J625" s="91"/>
      <c r="S625" s="92"/>
      <c r="AD625" s="93"/>
      <c r="AE625" s="93"/>
    </row>
    <row r="626" ht="13.5" customHeight="1">
      <c r="A626" s="90"/>
      <c r="H626" s="91"/>
      <c r="I626" s="91"/>
      <c r="J626" s="91"/>
      <c r="S626" s="92"/>
      <c r="AD626" s="93"/>
      <c r="AE626" s="93"/>
    </row>
    <row r="627" ht="13.5" customHeight="1">
      <c r="A627" s="90"/>
      <c r="H627" s="91"/>
      <c r="I627" s="91"/>
      <c r="J627" s="91"/>
      <c r="S627" s="92"/>
      <c r="AD627" s="93"/>
      <c r="AE627" s="93"/>
    </row>
    <row r="628" ht="13.5" customHeight="1">
      <c r="A628" s="90"/>
      <c r="H628" s="91"/>
      <c r="I628" s="91"/>
      <c r="J628" s="91"/>
      <c r="S628" s="92"/>
      <c r="AD628" s="93"/>
      <c r="AE628" s="93"/>
    </row>
    <row r="629" ht="13.5" customHeight="1">
      <c r="A629" s="90"/>
      <c r="H629" s="91"/>
      <c r="I629" s="91"/>
      <c r="J629" s="91"/>
      <c r="S629" s="92"/>
      <c r="AD629" s="93"/>
      <c r="AE629" s="93"/>
    </row>
    <row r="630" ht="13.5" customHeight="1">
      <c r="A630" s="90"/>
      <c r="H630" s="91"/>
      <c r="I630" s="91"/>
      <c r="J630" s="91"/>
      <c r="S630" s="92"/>
      <c r="AD630" s="93"/>
      <c r="AE630" s="93"/>
    </row>
    <row r="631" ht="13.5" customHeight="1">
      <c r="A631" s="90"/>
      <c r="H631" s="91"/>
      <c r="I631" s="91"/>
      <c r="J631" s="91"/>
      <c r="S631" s="92"/>
      <c r="AD631" s="93"/>
      <c r="AE631" s="93"/>
    </row>
    <row r="632" ht="13.5" customHeight="1">
      <c r="A632" s="90"/>
      <c r="H632" s="91"/>
      <c r="I632" s="91"/>
      <c r="J632" s="91"/>
      <c r="S632" s="92"/>
      <c r="AD632" s="93"/>
      <c r="AE632" s="93"/>
    </row>
    <row r="633" ht="13.5" customHeight="1">
      <c r="A633" s="90"/>
      <c r="H633" s="91"/>
      <c r="I633" s="91"/>
      <c r="J633" s="91"/>
      <c r="S633" s="92"/>
      <c r="AD633" s="93"/>
      <c r="AE633" s="93"/>
    </row>
    <row r="634" ht="13.5" customHeight="1">
      <c r="A634" s="90"/>
      <c r="H634" s="91"/>
      <c r="I634" s="91"/>
      <c r="J634" s="91"/>
      <c r="S634" s="92"/>
      <c r="AD634" s="93"/>
      <c r="AE634" s="93"/>
    </row>
    <row r="635" ht="13.5" customHeight="1">
      <c r="A635" s="90"/>
      <c r="H635" s="91"/>
      <c r="I635" s="91"/>
      <c r="J635" s="91"/>
      <c r="S635" s="92"/>
      <c r="AD635" s="93"/>
      <c r="AE635" s="93"/>
    </row>
    <row r="636" ht="13.5" customHeight="1">
      <c r="A636" s="90"/>
      <c r="H636" s="91"/>
      <c r="I636" s="91"/>
      <c r="J636" s="91"/>
      <c r="S636" s="92"/>
      <c r="AD636" s="93"/>
      <c r="AE636" s="93"/>
    </row>
    <row r="637" ht="13.5" customHeight="1">
      <c r="A637" s="90"/>
      <c r="H637" s="91"/>
      <c r="I637" s="91"/>
      <c r="J637" s="91"/>
      <c r="S637" s="92"/>
      <c r="AD637" s="93"/>
      <c r="AE637" s="93"/>
    </row>
    <row r="638" ht="13.5" customHeight="1">
      <c r="A638" s="90"/>
      <c r="H638" s="91"/>
      <c r="I638" s="91"/>
      <c r="J638" s="91"/>
      <c r="S638" s="92"/>
      <c r="AD638" s="93"/>
      <c r="AE638" s="93"/>
    </row>
    <row r="639" ht="13.5" customHeight="1">
      <c r="A639" s="90"/>
      <c r="H639" s="91"/>
      <c r="I639" s="91"/>
      <c r="J639" s="91"/>
      <c r="S639" s="92"/>
      <c r="AD639" s="93"/>
      <c r="AE639" s="93"/>
    </row>
    <row r="640" ht="13.5" customHeight="1">
      <c r="A640" s="90"/>
      <c r="H640" s="91"/>
      <c r="I640" s="91"/>
      <c r="J640" s="91"/>
      <c r="S640" s="92"/>
      <c r="AD640" s="93"/>
      <c r="AE640" s="93"/>
    </row>
    <row r="641" ht="13.5" customHeight="1">
      <c r="A641" s="90"/>
      <c r="H641" s="91"/>
      <c r="I641" s="91"/>
      <c r="J641" s="91"/>
      <c r="S641" s="92"/>
      <c r="AD641" s="93"/>
      <c r="AE641" s="93"/>
    </row>
    <row r="642" ht="13.5" customHeight="1">
      <c r="A642" s="90"/>
      <c r="H642" s="91"/>
      <c r="I642" s="91"/>
      <c r="J642" s="91"/>
      <c r="S642" s="92"/>
      <c r="AD642" s="93"/>
      <c r="AE642" s="93"/>
    </row>
    <row r="643" ht="13.5" customHeight="1">
      <c r="A643" s="90"/>
      <c r="H643" s="91"/>
      <c r="I643" s="91"/>
      <c r="J643" s="91"/>
      <c r="S643" s="92"/>
      <c r="AD643" s="93"/>
      <c r="AE643" s="93"/>
    </row>
    <row r="644" ht="13.5" customHeight="1">
      <c r="A644" s="90"/>
      <c r="H644" s="91"/>
      <c r="I644" s="91"/>
      <c r="J644" s="91"/>
      <c r="S644" s="92"/>
      <c r="AD644" s="93"/>
      <c r="AE644" s="93"/>
    </row>
    <row r="645" ht="13.5" customHeight="1">
      <c r="A645" s="90"/>
      <c r="H645" s="91"/>
      <c r="I645" s="91"/>
      <c r="J645" s="91"/>
      <c r="S645" s="92"/>
      <c r="AD645" s="93"/>
      <c r="AE645" s="93"/>
    </row>
    <row r="646" ht="13.5" customHeight="1">
      <c r="A646" s="90"/>
      <c r="H646" s="91"/>
      <c r="I646" s="91"/>
      <c r="J646" s="91"/>
      <c r="S646" s="92"/>
      <c r="AD646" s="93"/>
      <c r="AE646" s="93"/>
    </row>
    <row r="647" ht="13.5" customHeight="1">
      <c r="A647" s="90"/>
      <c r="H647" s="91"/>
      <c r="I647" s="91"/>
      <c r="J647" s="91"/>
      <c r="S647" s="92"/>
      <c r="AD647" s="93"/>
      <c r="AE647" s="93"/>
    </row>
    <row r="648" ht="13.5" customHeight="1">
      <c r="A648" s="90"/>
      <c r="H648" s="91"/>
      <c r="I648" s="91"/>
      <c r="J648" s="91"/>
      <c r="S648" s="92"/>
      <c r="AD648" s="93"/>
      <c r="AE648" s="93"/>
    </row>
    <row r="649" ht="13.5" customHeight="1">
      <c r="A649" s="90"/>
      <c r="H649" s="91"/>
      <c r="I649" s="91"/>
      <c r="J649" s="91"/>
      <c r="S649" s="92"/>
      <c r="AD649" s="93"/>
      <c r="AE649" s="93"/>
    </row>
    <row r="650" ht="13.5" customHeight="1">
      <c r="A650" s="90"/>
      <c r="H650" s="91"/>
      <c r="I650" s="91"/>
      <c r="J650" s="91"/>
      <c r="S650" s="92"/>
      <c r="AD650" s="93"/>
      <c r="AE650" s="93"/>
    </row>
    <row r="651" ht="13.5" customHeight="1">
      <c r="A651" s="90"/>
      <c r="H651" s="91"/>
      <c r="I651" s="91"/>
      <c r="J651" s="91"/>
      <c r="S651" s="92"/>
      <c r="AD651" s="93"/>
      <c r="AE651" s="93"/>
    </row>
    <row r="652" ht="13.5" customHeight="1">
      <c r="A652" s="90"/>
      <c r="H652" s="91"/>
      <c r="I652" s="91"/>
      <c r="J652" s="91"/>
      <c r="S652" s="92"/>
      <c r="AD652" s="93"/>
      <c r="AE652" s="93"/>
    </row>
    <row r="653" ht="13.5" customHeight="1">
      <c r="A653" s="90"/>
      <c r="H653" s="91"/>
      <c r="I653" s="91"/>
      <c r="J653" s="91"/>
      <c r="S653" s="92"/>
      <c r="AD653" s="93"/>
      <c r="AE653" s="93"/>
    </row>
    <row r="654" ht="13.5" customHeight="1">
      <c r="A654" s="90"/>
      <c r="H654" s="91"/>
      <c r="I654" s="91"/>
      <c r="J654" s="91"/>
      <c r="S654" s="92"/>
      <c r="AD654" s="93"/>
      <c r="AE654" s="93"/>
    </row>
    <row r="655" ht="13.5" customHeight="1">
      <c r="A655" s="90"/>
      <c r="H655" s="91"/>
      <c r="I655" s="91"/>
      <c r="J655" s="91"/>
      <c r="S655" s="92"/>
      <c r="AD655" s="93"/>
      <c r="AE655" s="93"/>
    </row>
    <row r="656" ht="13.5" customHeight="1">
      <c r="A656" s="90"/>
      <c r="H656" s="91"/>
      <c r="I656" s="91"/>
      <c r="J656" s="91"/>
      <c r="S656" s="92"/>
      <c r="AD656" s="93"/>
      <c r="AE656" s="93"/>
    </row>
    <row r="657" ht="13.5" customHeight="1">
      <c r="A657" s="90"/>
      <c r="H657" s="91"/>
      <c r="I657" s="91"/>
      <c r="J657" s="91"/>
      <c r="S657" s="92"/>
      <c r="AD657" s="93"/>
      <c r="AE657" s="93"/>
    </row>
    <row r="658" ht="13.5" customHeight="1">
      <c r="A658" s="90"/>
      <c r="H658" s="91"/>
      <c r="I658" s="91"/>
      <c r="J658" s="91"/>
      <c r="S658" s="92"/>
      <c r="AD658" s="93"/>
      <c r="AE658" s="93"/>
    </row>
    <row r="659" ht="13.5" customHeight="1">
      <c r="A659" s="90"/>
      <c r="H659" s="91"/>
      <c r="I659" s="91"/>
      <c r="J659" s="91"/>
      <c r="S659" s="92"/>
      <c r="AD659" s="93"/>
      <c r="AE659" s="93"/>
    </row>
    <row r="660" ht="13.5" customHeight="1">
      <c r="A660" s="90"/>
      <c r="H660" s="91"/>
      <c r="I660" s="91"/>
      <c r="J660" s="91"/>
      <c r="S660" s="92"/>
      <c r="AD660" s="93"/>
      <c r="AE660" s="93"/>
    </row>
    <row r="661" ht="13.5" customHeight="1">
      <c r="A661" s="90"/>
      <c r="H661" s="91"/>
      <c r="I661" s="91"/>
      <c r="J661" s="91"/>
      <c r="S661" s="92"/>
      <c r="AD661" s="93"/>
      <c r="AE661" s="93"/>
    </row>
    <row r="662" ht="13.5" customHeight="1">
      <c r="A662" s="90"/>
      <c r="H662" s="91"/>
      <c r="I662" s="91"/>
      <c r="J662" s="91"/>
      <c r="S662" s="92"/>
      <c r="AD662" s="93"/>
      <c r="AE662" s="93"/>
    </row>
    <row r="663" ht="13.5" customHeight="1">
      <c r="A663" s="90"/>
      <c r="H663" s="91"/>
      <c r="I663" s="91"/>
      <c r="J663" s="91"/>
      <c r="S663" s="92"/>
      <c r="AD663" s="93"/>
      <c r="AE663" s="93"/>
    </row>
    <row r="664" ht="13.5" customHeight="1">
      <c r="A664" s="90"/>
      <c r="H664" s="91"/>
      <c r="I664" s="91"/>
      <c r="J664" s="91"/>
      <c r="S664" s="92"/>
      <c r="AD664" s="93"/>
      <c r="AE664" s="93"/>
    </row>
    <row r="665" ht="13.5" customHeight="1">
      <c r="A665" s="90"/>
      <c r="H665" s="91"/>
      <c r="I665" s="91"/>
      <c r="J665" s="91"/>
      <c r="S665" s="92"/>
      <c r="AD665" s="93"/>
      <c r="AE665" s="93"/>
    </row>
    <row r="666" ht="13.5" customHeight="1">
      <c r="A666" s="90"/>
      <c r="H666" s="91"/>
      <c r="I666" s="91"/>
      <c r="J666" s="91"/>
      <c r="S666" s="92"/>
      <c r="AD666" s="93"/>
      <c r="AE666" s="93"/>
    </row>
    <row r="667" ht="13.5" customHeight="1">
      <c r="A667" s="90"/>
      <c r="H667" s="91"/>
      <c r="I667" s="91"/>
      <c r="J667" s="91"/>
      <c r="S667" s="92"/>
      <c r="AD667" s="93"/>
      <c r="AE667" s="93"/>
    </row>
    <row r="668" ht="13.5" customHeight="1">
      <c r="A668" s="90"/>
      <c r="H668" s="91"/>
      <c r="I668" s="91"/>
      <c r="J668" s="91"/>
      <c r="S668" s="92"/>
      <c r="AD668" s="93"/>
      <c r="AE668" s="93"/>
    </row>
    <row r="669" ht="13.5" customHeight="1">
      <c r="A669" s="90"/>
      <c r="H669" s="91"/>
      <c r="I669" s="91"/>
      <c r="J669" s="91"/>
      <c r="S669" s="92"/>
      <c r="AD669" s="93"/>
      <c r="AE669" s="93"/>
    </row>
    <row r="670" ht="13.5" customHeight="1">
      <c r="A670" s="90"/>
      <c r="H670" s="91"/>
      <c r="I670" s="91"/>
      <c r="J670" s="91"/>
      <c r="S670" s="92"/>
      <c r="AD670" s="93"/>
      <c r="AE670" s="93"/>
    </row>
    <row r="671" ht="13.5" customHeight="1">
      <c r="A671" s="90"/>
      <c r="H671" s="91"/>
      <c r="I671" s="91"/>
      <c r="J671" s="91"/>
      <c r="S671" s="92"/>
      <c r="AD671" s="93"/>
      <c r="AE671" s="93"/>
    </row>
    <row r="672" ht="13.5" customHeight="1">
      <c r="A672" s="90"/>
      <c r="H672" s="91"/>
      <c r="I672" s="91"/>
      <c r="J672" s="91"/>
      <c r="S672" s="92"/>
      <c r="AD672" s="93"/>
      <c r="AE672" s="93"/>
    </row>
    <row r="673" ht="13.5" customHeight="1">
      <c r="A673" s="90"/>
      <c r="H673" s="91"/>
      <c r="I673" s="91"/>
      <c r="J673" s="91"/>
      <c r="S673" s="92"/>
      <c r="AD673" s="93"/>
      <c r="AE673" s="93"/>
    </row>
    <row r="674" ht="13.5" customHeight="1">
      <c r="A674" s="90"/>
      <c r="H674" s="91"/>
      <c r="I674" s="91"/>
      <c r="J674" s="91"/>
      <c r="S674" s="92"/>
      <c r="AD674" s="93"/>
      <c r="AE674" s="93"/>
    </row>
    <row r="675" ht="13.5" customHeight="1">
      <c r="A675" s="90"/>
      <c r="H675" s="91"/>
      <c r="I675" s="91"/>
      <c r="J675" s="91"/>
      <c r="S675" s="92"/>
      <c r="AD675" s="93"/>
      <c r="AE675" s="93"/>
    </row>
    <row r="676" ht="13.5" customHeight="1">
      <c r="A676" s="90"/>
      <c r="H676" s="91"/>
      <c r="I676" s="91"/>
      <c r="J676" s="91"/>
      <c r="S676" s="92"/>
      <c r="AD676" s="93"/>
      <c r="AE676" s="93"/>
    </row>
    <row r="677" ht="13.5" customHeight="1">
      <c r="A677" s="90"/>
      <c r="H677" s="91"/>
      <c r="I677" s="91"/>
      <c r="J677" s="91"/>
      <c r="S677" s="92"/>
      <c r="AD677" s="93"/>
      <c r="AE677" s="93"/>
    </row>
    <row r="678" ht="13.5" customHeight="1">
      <c r="A678" s="90"/>
      <c r="H678" s="91"/>
      <c r="I678" s="91"/>
      <c r="J678" s="91"/>
      <c r="S678" s="92"/>
      <c r="AD678" s="93"/>
      <c r="AE678" s="93"/>
    </row>
    <row r="679" ht="13.5" customHeight="1">
      <c r="A679" s="90"/>
      <c r="H679" s="91"/>
      <c r="I679" s="91"/>
      <c r="J679" s="91"/>
      <c r="S679" s="92"/>
      <c r="AD679" s="93"/>
      <c r="AE679" s="93"/>
    </row>
    <row r="680" ht="13.5" customHeight="1">
      <c r="A680" s="90"/>
      <c r="H680" s="91"/>
      <c r="I680" s="91"/>
      <c r="J680" s="91"/>
      <c r="S680" s="92"/>
      <c r="AD680" s="93"/>
      <c r="AE680" s="93"/>
    </row>
    <row r="681" ht="13.5" customHeight="1">
      <c r="A681" s="90"/>
      <c r="H681" s="91"/>
      <c r="I681" s="91"/>
      <c r="J681" s="91"/>
      <c r="S681" s="92"/>
      <c r="AD681" s="93"/>
      <c r="AE681" s="93"/>
    </row>
    <row r="682" ht="13.5" customHeight="1">
      <c r="A682" s="90"/>
      <c r="H682" s="91"/>
      <c r="I682" s="91"/>
      <c r="J682" s="91"/>
      <c r="S682" s="92"/>
      <c r="AD682" s="93"/>
      <c r="AE682" s="93"/>
    </row>
    <row r="683" ht="13.5" customHeight="1">
      <c r="A683" s="90"/>
      <c r="H683" s="91"/>
      <c r="I683" s="91"/>
      <c r="J683" s="91"/>
      <c r="S683" s="92"/>
      <c r="AD683" s="93"/>
      <c r="AE683" s="93"/>
    </row>
    <row r="684" ht="13.5" customHeight="1">
      <c r="A684" s="90"/>
      <c r="H684" s="91"/>
      <c r="I684" s="91"/>
      <c r="J684" s="91"/>
      <c r="S684" s="92"/>
      <c r="AD684" s="93"/>
      <c r="AE684" s="93"/>
    </row>
    <row r="685" ht="13.5" customHeight="1">
      <c r="A685" s="90"/>
      <c r="H685" s="91"/>
      <c r="I685" s="91"/>
      <c r="J685" s="91"/>
      <c r="S685" s="92"/>
      <c r="AD685" s="93"/>
      <c r="AE685" s="93"/>
    </row>
    <row r="686" ht="13.5" customHeight="1">
      <c r="A686" s="90"/>
      <c r="H686" s="91"/>
      <c r="I686" s="91"/>
      <c r="J686" s="91"/>
      <c r="S686" s="92"/>
      <c r="AD686" s="93"/>
      <c r="AE686" s="93"/>
    </row>
    <row r="687" ht="13.5" customHeight="1">
      <c r="A687" s="90"/>
      <c r="H687" s="91"/>
      <c r="I687" s="91"/>
      <c r="J687" s="91"/>
      <c r="S687" s="92"/>
      <c r="AD687" s="93"/>
      <c r="AE687" s="93"/>
    </row>
    <row r="688" ht="13.5" customHeight="1">
      <c r="A688" s="90"/>
      <c r="H688" s="91"/>
      <c r="I688" s="91"/>
      <c r="J688" s="91"/>
      <c r="S688" s="92"/>
      <c r="AD688" s="93"/>
      <c r="AE688" s="93"/>
    </row>
    <row r="689" ht="13.5" customHeight="1">
      <c r="A689" s="90"/>
      <c r="H689" s="91"/>
      <c r="I689" s="91"/>
      <c r="J689" s="91"/>
      <c r="S689" s="92"/>
      <c r="AD689" s="93"/>
      <c r="AE689" s="93"/>
    </row>
    <row r="690" ht="13.5" customHeight="1">
      <c r="A690" s="90"/>
      <c r="H690" s="91"/>
      <c r="I690" s="91"/>
      <c r="J690" s="91"/>
      <c r="S690" s="92"/>
      <c r="AD690" s="93"/>
      <c r="AE690" s="93"/>
    </row>
    <row r="691" ht="13.5" customHeight="1">
      <c r="A691" s="90"/>
      <c r="H691" s="91"/>
      <c r="I691" s="91"/>
      <c r="J691" s="91"/>
      <c r="S691" s="92"/>
      <c r="AD691" s="93"/>
      <c r="AE691" s="93"/>
    </row>
    <row r="692" ht="13.5" customHeight="1">
      <c r="A692" s="90"/>
      <c r="H692" s="91"/>
      <c r="I692" s="91"/>
      <c r="J692" s="91"/>
      <c r="S692" s="92"/>
      <c r="AD692" s="93"/>
      <c r="AE692" s="93"/>
    </row>
    <row r="693" ht="13.5" customHeight="1">
      <c r="A693" s="90"/>
      <c r="H693" s="91"/>
      <c r="I693" s="91"/>
      <c r="J693" s="91"/>
      <c r="S693" s="92"/>
      <c r="AD693" s="93"/>
      <c r="AE693" s="93"/>
    </row>
    <row r="694" ht="13.5" customHeight="1">
      <c r="A694" s="90"/>
      <c r="H694" s="91"/>
      <c r="I694" s="91"/>
      <c r="J694" s="91"/>
      <c r="S694" s="92"/>
      <c r="AD694" s="93"/>
      <c r="AE694" s="93"/>
    </row>
    <row r="695" ht="13.5" customHeight="1">
      <c r="A695" s="90"/>
      <c r="H695" s="91"/>
      <c r="I695" s="91"/>
      <c r="J695" s="91"/>
      <c r="S695" s="92"/>
      <c r="AD695" s="93"/>
      <c r="AE695" s="93"/>
    </row>
    <row r="696" ht="13.5" customHeight="1">
      <c r="A696" s="90"/>
      <c r="H696" s="91"/>
      <c r="I696" s="91"/>
      <c r="J696" s="91"/>
      <c r="S696" s="92"/>
      <c r="AD696" s="93"/>
      <c r="AE696" s="93"/>
    </row>
    <row r="697" ht="13.5" customHeight="1">
      <c r="A697" s="90"/>
      <c r="H697" s="91"/>
      <c r="I697" s="91"/>
      <c r="J697" s="91"/>
      <c r="S697" s="92"/>
      <c r="AD697" s="93"/>
      <c r="AE697" s="93"/>
    </row>
    <row r="698" ht="13.5" customHeight="1">
      <c r="A698" s="90"/>
      <c r="H698" s="91"/>
      <c r="I698" s="91"/>
      <c r="J698" s="91"/>
      <c r="S698" s="92"/>
      <c r="AD698" s="93"/>
      <c r="AE698" s="93"/>
    </row>
    <row r="699" ht="13.5" customHeight="1">
      <c r="A699" s="90"/>
      <c r="H699" s="91"/>
      <c r="I699" s="91"/>
      <c r="J699" s="91"/>
      <c r="S699" s="92"/>
      <c r="AD699" s="93"/>
      <c r="AE699" s="93"/>
    </row>
    <row r="700" ht="13.5" customHeight="1">
      <c r="A700" s="90"/>
      <c r="H700" s="91"/>
      <c r="I700" s="91"/>
      <c r="J700" s="91"/>
      <c r="S700" s="92"/>
      <c r="AD700" s="93"/>
      <c r="AE700" s="93"/>
    </row>
    <row r="701" ht="13.5" customHeight="1">
      <c r="A701" s="90"/>
      <c r="H701" s="91"/>
      <c r="I701" s="91"/>
      <c r="J701" s="91"/>
      <c r="S701" s="92"/>
      <c r="AD701" s="93"/>
      <c r="AE701" s="93"/>
    </row>
    <row r="702" ht="13.5" customHeight="1">
      <c r="A702" s="90"/>
      <c r="H702" s="91"/>
      <c r="I702" s="91"/>
      <c r="J702" s="91"/>
      <c r="S702" s="92"/>
      <c r="AD702" s="93"/>
      <c r="AE702" s="93"/>
    </row>
    <row r="703" ht="13.5" customHeight="1">
      <c r="A703" s="90"/>
      <c r="H703" s="91"/>
      <c r="I703" s="91"/>
      <c r="J703" s="91"/>
      <c r="S703" s="92"/>
      <c r="AD703" s="93"/>
      <c r="AE703" s="93"/>
    </row>
    <row r="704" ht="13.5" customHeight="1">
      <c r="A704" s="90"/>
      <c r="H704" s="91"/>
      <c r="I704" s="91"/>
      <c r="J704" s="91"/>
      <c r="S704" s="92"/>
      <c r="AD704" s="93"/>
      <c r="AE704" s="93"/>
    </row>
    <row r="705" ht="13.5" customHeight="1">
      <c r="A705" s="90"/>
      <c r="H705" s="91"/>
      <c r="I705" s="91"/>
      <c r="J705" s="91"/>
      <c r="S705" s="92"/>
      <c r="AD705" s="93"/>
      <c r="AE705" s="93"/>
    </row>
    <row r="706" ht="13.5" customHeight="1">
      <c r="A706" s="90"/>
      <c r="H706" s="91"/>
      <c r="I706" s="91"/>
      <c r="J706" s="91"/>
      <c r="S706" s="92"/>
      <c r="AD706" s="93"/>
      <c r="AE706" s="93"/>
    </row>
    <row r="707" ht="13.5" customHeight="1">
      <c r="A707" s="90"/>
      <c r="H707" s="91"/>
      <c r="I707" s="91"/>
      <c r="J707" s="91"/>
      <c r="S707" s="92"/>
      <c r="AD707" s="93"/>
      <c r="AE707" s="93"/>
    </row>
    <row r="708" ht="13.5" customHeight="1">
      <c r="A708" s="90"/>
      <c r="H708" s="91"/>
      <c r="I708" s="91"/>
      <c r="J708" s="91"/>
      <c r="S708" s="92"/>
      <c r="AD708" s="93"/>
      <c r="AE708" s="93"/>
    </row>
    <row r="709" ht="13.5" customHeight="1">
      <c r="A709" s="90"/>
      <c r="H709" s="91"/>
      <c r="I709" s="91"/>
      <c r="J709" s="91"/>
      <c r="S709" s="92"/>
      <c r="AD709" s="93"/>
      <c r="AE709" s="93"/>
    </row>
    <row r="710" ht="13.5" customHeight="1">
      <c r="A710" s="90"/>
      <c r="H710" s="91"/>
      <c r="I710" s="91"/>
      <c r="J710" s="91"/>
      <c r="S710" s="92"/>
      <c r="AD710" s="93"/>
      <c r="AE710" s="93"/>
    </row>
    <row r="711" ht="13.5" customHeight="1">
      <c r="A711" s="90"/>
      <c r="H711" s="91"/>
      <c r="I711" s="91"/>
      <c r="J711" s="91"/>
      <c r="S711" s="92"/>
      <c r="AD711" s="93"/>
      <c r="AE711" s="93"/>
    </row>
    <row r="712" ht="13.5" customHeight="1">
      <c r="A712" s="90"/>
      <c r="H712" s="91"/>
      <c r="I712" s="91"/>
      <c r="J712" s="91"/>
      <c r="S712" s="92"/>
      <c r="AD712" s="93"/>
      <c r="AE712" s="93"/>
    </row>
    <row r="713" ht="13.5" customHeight="1">
      <c r="A713" s="90"/>
      <c r="H713" s="91"/>
      <c r="I713" s="91"/>
      <c r="J713" s="91"/>
      <c r="S713" s="92"/>
      <c r="AD713" s="93"/>
      <c r="AE713" s="93"/>
    </row>
    <row r="714" ht="13.5" customHeight="1">
      <c r="A714" s="90"/>
      <c r="H714" s="91"/>
      <c r="I714" s="91"/>
      <c r="J714" s="91"/>
      <c r="S714" s="92"/>
      <c r="AD714" s="93"/>
      <c r="AE714" s="93"/>
    </row>
    <row r="715" ht="13.5" customHeight="1">
      <c r="A715" s="90"/>
      <c r="H715" s="91"/>
      <c r="I715" s="91"/>
      <c r="J715" s="91"/>
      <c r="S715" s="92"/>
      <c r="AD715" s="93"/>
      <c r="AE715" s="93"/>
    </row>
    <row r="716" ht="13.5" customHeight="1">
      <c r="A716" s="90"/>
      <c r="H716" s="91"/>
      <c r="I716" s="91"/>
      <c r="J716" s="91"/>
      <c r="S716" s="92"/>
      <c r="AD716" s="93"/>
      <c r="AE716" s="93"/>
    </row>
    <row r="717" ht="13.5" customHeight="1">
      <c r="A717" s="90"/>
      <c r="H717" s="91"/>
      <c r="I717" s="91"/>
      <c r="J717" s="91"/>
      <c r="S717" s="92"/>
      <c r="AD717" s="93"/>
      <c r="AE717" s="93"/>
    </row>
    <row r="718" ht="13.5" customHeight="1">
      <c r="A718" s="90"/>
      <c r="H718" s="91"/>
      <c r="I718" s="91"/>
      <c r="J718" s="91"/>
      <c r="S718" s="92"/>
      <c r="AD718" s="93"/>
      <c r="AE718" s="93"/>
    </row>
    <row r="719" ht="13.5" customHeight="1">
      <c r="A719" s="90"/>
      <c r="H719" s="91"/>
      <c r="I719" s="91"/>
      <c r="J719" s="91"/>
      <c r="S719" s="92"/>
      <c r="AD719" s="93"/>
      <c r="AE719" s="93"/>
    </row>
    <row r="720" ht="13.5" customHeight="1">
      <c r="A720" s="90"/>
      <c r="H720" s="91"/>
      <c r="I720" s="91"/>
      <c r="J720" s="91"/>
      <c r="S720" s="92"/>
      <c r="AD720" s="93"/>
      <c r="AE720" s="93"/>
    </row>
    <row r="721" ht="13.5" customHeight="1">
      <c r="A721" s="90"/>
      <c r="H721" s="91"/>
      <c r="I721" s="91"/>
      <c r="J721" s="91"/>
      <c r="S721" s="92"/>
      <c r="AD721" s="93"/>
      <c r="AE721" s="93"/>
    </row>
    <row r="722" ht="13.5" customHeight="1">
      <c r="A722" s="90"/>
      <c r="H722" s="91"/>
      <c r="I722" s="91"/>
      <c r="J722" s="91"/>
      <c r="S722" s="92"/>
      <c r="AD722" s="93"/>
      <c r="AE722" s="93"/>
    </row>
    <row r="723" ht="13.5" customHeight="1">
      <c r="A723" s="90"/>
      <c r="H723" s="91"/>
      <c r="I723" s="91"/>
      <c r="J723" s="91"/>
      <c r="S723" s="92"/>
      <c r="AD723" s="93"/>
      <c r="AE723" s="93"/>
    </row>
    <row r="724" ht="13.5" customHeight="1">
      <c r="A724" s="90"/>
      <c r="H724" s="91"/>
      <c r="I724" s="91"/>
      <c r="J724" s="91"/>
      <c r="S724" s="92"/>
      <c r="AD724" s="93"/>
      <c r="AE724" s="93"/>
    </row>
    <row r="725" ht="13.5" customHeight="1">
      <c r="A725" s="90"/>
      <c r="H725" s="91"/>
      <c r="I725" s="91"/>
      <c r="J725" s="91"/>
      <c r="S725" s="92"/>
      <c r="AD725" s="93"/>
      <c r="AE725" s="93"/>
    </row>
    <row r="726" ht="13.5" customHeight="1">
      <c r="A726" s="90"/>
      <c r="H726" s="91"/>
      <c r="I726" s="91"/>
      <c r="J726" s="91"/>
      <c r="S726" s="92"/>
      <c r="AD726" s="93"/>
      <c r="AE726" s="93"/>
    </row>
    <row r="727" ht="13.5" customHeight="1">
      <c r="A727" s="90"/>
      <c r="H727" s="91"/>
      <c r="I727" s="91"/>
      <c r="J727" s="91"/>
      <c r="S727" s="92"/>
      <c r="AD727" s="93"/>
      <c r="AE727" s="93"/>
    </row>
    <row r="728" ht="13.5" customHeight="1">
      <c r="A728" s="90"/>
      <c r="H728" s="91"/>
      <c r="I728" s="91"/>
      <c r="J728" s="91"/>
      <c r="S728" s="92"/>
      <c r="AD728" s="93"/>
      <c r="AE728" s="93"/>
    </row>
    <row r="729" ht="13.5" customHeight="1">
      <c r="A729" s="90"/>
      <c r="H729" s="91"/>
      <c r="I729" s="91"/>
      <c r="J729" s="91"/>
      <c r="S729" s="92"/>
      <c r="AD729" s="93"/>
      <c r="AE729" s="93"/>
    </row>
    <row r="730" ht="13.5" customHeight="1">
      <c r="A730" s="90"/>
      <c r="H730" s="91"/>
      <c r="I730" s="91"/>
      <c r="J730" s="91"/>
      <c r="S730" s="92"/>
      <c r="AD730" s="93"/>
      <c r="AE730" s="93"/>
    </row>
    <row r="731" ht="13.5" customHeight="1">
      <c r="A731" s="90"/>
      <c r="H731" s="91"/>
      <c r="I731" s="91"/>
      <c r="J731" s="91"/>
      <c r="S731" s="92"/>
      <c r="AD731" s="93"/>
      <c r="AE731" s="93"/>
    </row>
    <row r="732" ht="13.5" customHeight="1">
      <c r="A732" s="90"/>
      <c r="H732" s="91"/>
      <c r="I732" s="91"/>
      <c r="J732" s="91"/>
      <c r="S732" s="92"/>
      <c r="AD732" s="93"/>
      <c r="AE732" s="93"/>
    </row>
    <row r="733" ht="13.5" customHeight="1">
      <c r="A733" s="90"/>
      <c r="H733" s="91"/>
      <c r="I733" s="91"/>
      <c r="J733" s="91"/>
      <c r="S733" s="92"/>
      <c r="AD733" s="93"/>
      <c r="AE733" s="93"/>
    </row>
    <row r="734" ht="13.5" customHeight="1">
      <c r="A734" s="90"/>
      <c r="H734" s="91"/>
      <c r="I734" s="91"/>
      <c r="J734" s="91"/>
      <c r="S734" s="92"/>
      <c r="AD734" s="93"/>
      <c r="AE734" s="93"/>
    </row>
    <row r="735" ht="13.5" customHeight="1">
      <c r="A735" s="90"/>
      <c r="H735" s="91"/>
      <c r="I735" s="91"/>
      <c r="J735" s="91"/>
      <c r="S735" s="92"/>
      <c r="AD735" s="93"/>
      <c r="AE735" s="93"/>
    </row>
    <row r="736" ht="13.5" customHeight="1">
      <c r="A736" s="90"/>
      <c r="H736" s="91"/>
      <c r="I736" s="91"/>
      <c r="J736" s="91"/>
      <c r="S736" s="92"/>
      <c r="AD736" s="93"/>
      <c r="AE736" s="93"/>
    </row>
    <row r="737" ht="13.5" customHeight="1">
      <c r="A737" s="90"/>
      <c r="H737" s="91"/>
      <c r="I737" s="91"/>
      <c r="J737" s="91"/>
      <c r="S737" s="92"/>
      <c r="AD737" s="93"/>
      <c r="AE737" s="93"/>
    </row>
    <row r="738" ht="13.5" customHeight="1">
      <c r="A738" s="90"/>
      <c r="H738" s="91"/>
      <c r="I738" s="91"/>
      <c r="J738" s="91"/>
      <c r="S738" s="92"/>
      <c r="AD738" s="93"/>
      <c r="AE738" s="93"/>
    </row>
    <row r="739" ht="13.5" customHeight="1">
      <c r="A739" s="90"/>
      <c r="H739" s="91"/>
      <c r="I739" s="91"/>
      <c r="J739" s="91"/>
      <c r="S739" s="92"/>
      <c r="AD739" s="93"/>
      <c r="AE739" s="93"/>
    </row>
    <row r="740" ht="13.5" customHeight="1">
      <c r="A740" s="90"/>
      <c r="H740" s="91"/>
      <c r="I740" s="91"/>
      <c r="J740" s="91"/>
      <c r="S740" s="92"/>
      <c r="AD740" s="93"/>
      <c r="AE740" s="93"/>
    </row>
    <row r="741" ht="13.5" customHeight="1">
      <c r="A741" s="90"/>
      <c r="H741" s="91"/>
      <c r="I741" s="91"/>
      <c r="J741" s="91"/>
      <c r="S741" s="92"/>
      <c r="AD741" s="93"/>
      <c r="AE741" s="93"/>
    </row>
    <row r="742" ht="13.5" customHeight="1">
      <c r="A742" s="90"/>
      <c r="H742" s="91"/>
      <c r="I742" s="91"/>
      <c r="J742" s="91"/>
      <c r="S742" s="92"/>
      <c r="AD742" s="93"/>
      <c r="AE742" s="93"/>
    </row>
    <row r="743" ht="13.5" customHeight="1">
      <c r="A743" s="90"/>
      <c r="H743" s="91"/>
      <c r="I743" s="91"/>
      <c r="J743" s="91"/>
      <c r="S743" s="92"/>
      <c r="AD743" s="93"/>
      <c r="AE743" s="93"/>
    </row>
    <row r="744" ht="13.5" customHeight="1">
      <c r="A744" s="90"/>
      <c r="H744" s="91"/>
      <c r="I744" s="91"/>
      <c r="J744" s="91"/>
      <c r="S744" s="92"/>
      <c r="AD744" s="93"/>
      <c r="AE744" s="93"/>
    </row>
    <row r="745" ht="13.5" customHeight="1">
      <c r="A745" s="90"/>
      <c r="H745" s="91"/>
      <c r="I745" s="91"/>
      <c r="J745" s="91"/>
      <c r="S745" s="92"/>
      <c r="AD745" s="93"/>
      <c r="AE745" s="93"/>
    </row>
    <row r="746" ht="13.5" customHeight="1">
      <c r="A746" s="90"/>
      <c r="H746" s="91"/>
      <c r="I746" s="91"/>
      <c r="J746" s="91"/>
      <c r="S746" s="92"/>
      <c r="AD746" s="93"/>
      <c r="AE746" s="93"/>
    </row>
    <row r="747" ht="13.5" customHeight="1">
      <c r="A747" s="90"/>
      <c r="H747" s="91"/>
      <c r="I747" s="91"/>
      <c r="J747" s="91"/>
      <c r="S747" s="92"/>
      <c r="AD747" s="93"/>
      <c r="AE747" s="93"/>
    </row>
    <row r="748" ht="13.5" customHeight="1">
      <c r="A748" s="90"/>
      <c r="H748" s="91"/>
      <c r="I748" s="91"/>
      <c r="J748" s="91"/>
      <c r="S748" s="92"/>
      <c r="AD748" s="93"/>
      <c r="AE748" s="93"/>
    </row>
    <row r="749" ht="13.5" customHeight="1">
      <c r="A749" s="90"/>
      <c r="H749" s="91"/>
      <c r="I749" s="91"/>
      <c r="J749" s="91"/>
      <c r="S749" s="92"/>
      <c r="AD749" s="93"/>
      <c r="AE749" s="93"/>
    </row>
    <row r="750" ht="13.5" customHeight="1">
      <c r="A750" s="90"/>
      <c r="H750" s="91"/>
      <c r="I750" s="91"/>
      <c r="J750" s="91"/>
      <c r="S750" s="92"/>
      <c r="AD750" s="93"/>
      <c r="AE750" s="93"/>
    </row>
    <row r="751" ht="13.5" customHeight="1">
      <c r="A751" s="90"/>
      <c r="H751" s="91"/>
      <c r="I751" s="91"/>
      <c r="J751" s="91"/>
      <c r="S751" s="92"/>
      <c r="AD751" s="93"/>
      <c r="AE751" s="93"/>
    </row>
    <row r="752" ht="13.5" customHeight="1">
      <c r="A752" s="90"/>
      <c r="H752" s="91"/>
      <c r="I752" s="91"/>
      <c r="J752" s="91"/>
      <c r="S752" s="92"/>
      <c r="AD752" s="93"/>
      <c r="AE752" s="93"/>
    </row>
    <row r="753" ht="13.5" customHeight="1">
      <c r="A753" s="90"/>
      <c r="H753" s="91"/>
      <c r="I753" s="91"/>
      <c r="J753" s="91"/>
      <c r="S753" s="92"/>
      <c r="AD753" s="93"/>
      <c r="AE753" s="93"/>
    </row>
    <row r="754" ht="13.5" customHeight="1">
      <c r="A754" s="90"/>
      <c r="H754" s="91"/>
      <c r="I754" s="91"/>
      <c r="J754" s="91"/>
      <c r="S754" s="92"/>
      <c r="AD754" s="93"/>
      <c r="AE754" s="93"/>
    </row>
    <row r="755" ht="13.5" customHeight="1">
      <c r="A755" s="90"/>
      <c r="H755" s="91"/>
      <c r="I755" s="91"/>
      <c r="J755" s="91"/>
      <c r="S755" s="92"/>
      <c r="AD755" s="93"/>
      <c r="AE755" s="93"/>
    </row>
    <row r="756" ht="13.5" customHeight="1">
      <c r="A756" s="90"/>
      <c r="H756" s="91"/>
      <c r="I756" s="91"/>
      <c r="J756" s="91"/>
      <c r="S756" s="92"/>
      <c r="AD756" s="93"/>
      <c r="AE756" s="93"/>
    </row>
    <row r="757" ht="13.5" customHeight="1">
      <c r="A757" s="90"/>
      <c r="H757" s="91"/>
      <c r="I757" s="91"/>
      <c r="J757" s="91"/>
      <c r="S757" s="92"/>
      <c r="AD757" s="93"/>
      <c r="AE757" s="93"/>
    </row>
    <row r="758" ht="13.5" customHeight="1">
      <c r="A758" s="90"/>
      <c r="H758" s="91"/>
      <c r="I758" s="91"/>
      <c r="J758" s="91"/>
      <c r="S758" s="92"/>
      <c r="AD758" s="93"/>
      <c r="AE758" s="93"/>
    </row>
    <row r="759" ht="13.5" customHeight="1">
      <c r="A759" s="90"/>
      <c r="H759" s="91"/>
      <c r="I759" s="91"/>
      <c r="J759" s="91"/>
      <c r="S759" s="92"/>
      <c r="AD759" s="93"/>
      <c r="AE759" s="93"/>
    </row>
    <row r="760" ht="13.5" customHeight="1">
      <c r="A760" s="90"/>
      <c r="H760" s="91"/>
      <c r="I760" s="91"/>
      <c r="J760" s="91"/>
      <c r="S760" s="92"/>
      <c r="AD760" s="93"/>
      <c r="AE760" s="93"/>
    </row>
    <row r="761" ht="13.5" customHeight="1">
      <c r="A761" s="90"/>
      <c r="H761" s="91"/>
      <c r="I761" s="91"/>
      <c r="J761" s="91"/>
      <c r="S761" s="92"/>
      <c r="AD761" s="93"/>
      <c r="AE761" s="93"/>
    </row>
    <row r="762" ht="13.5" customHeight="1">
      <c r="A762" s="90"/>
      <c r="H762" s="91"/>
      <c r="I762" s="91"/>
      <c r="J762" s="91"/>
      <c r="S762" s="92"/>
      <c r="AD762" s="93"/>
      <c r="AE762" s="93"/>
    </row>
    <row r="763" ht="13.5" customHeight="1">
      <c r="A763" s="90"/>
      <c r="H763" s="91"/>
      <c r="I763" s="91"/>
      <c r="J763" s="91"/>
      <c r="S763" s="92"/>
      <c r="AD763" s="93"/>
      <c r="AE763" s="93"/>
    </row>
    <row r="764" ht="13.5" customHeight="1">
      <c r="A764" s="90"/>
      <c r="H764" s="91"/>
      <c r="I764" s="91"/>
      <c r="J764" s="91"/>
      <c r="S764" s="92"/>
      <c r="AD764" s="93"/>
      <c r="AE764" s="93"/>
    </row>
    <row r="765" ht="13.5" customHeight="1">
      <c r="A765" s="90"/>
      <c r="H765" s="91"/>
      <c r="I765" s="91"/>
      <c r="J765" s="91"/>
      <c r="S765" s="92"/>
      <c r="AD765" s="93"/>
      <c r="AE765" s="93"/>
    </row>
    <row r="766" ht="13.5" customHeight="1">
      <c r="A766" s="90"/>
      <c r="H766" s="91"/>
      <c r="I766" s="91"/>
      <c r="J766" s="91"/>
      <c r="S766" s="92"/>
      <c r="AD766" s="93"/>
      <c r="AE766" s="93"/>
    </row>
    <row r="767" ht="13.5" customHeight="1">
      <c r="A767" s="90"/>
      <c r="H767" s="91"/>
      <c r="I767" s="91"/>
      <c r="J767" s="91"/>
      <c r="S767" s="92"/>
      <c r="AD767" s="93"/>
      <c r="AE767" s="93"/>
    </row>
    <row r="768" ht="13.5" customHeight="1">
      <c r="A768" s="90"/>
      <c r="H768" s="91"/>
      <c r="I768" s="91"/>
      <c r="J768" s="91"/>
      <c r="S768" s="92"/>
      <c r="AD768" s="93"/>
      <c r="AE768" s="93"/>
    </row>
    <row r="769" ht="13.5" customHeight="1">
      <c r="A769" s="90"/>
      <c r="H769" s="91"/>
      <c r="I769" s="91"/>
      <c r="J769" s="91"/>
      <c r="S769" s="92"/>
      <c r="AD769" s="93"/>
      <c r="AE769" s="93"/>
    </row>
    <row r="770" ht="13.5" customHeight="1">
      <c r="A770" s="90"/>
      <c r="H770" s="91"/>
      <c r="I770" s="91"/>
      <c r="J770" s="91"/>
      <c r="S770" s="92"/>
      <c r="AD770" s="93"/>
      <c r="AE770" s="93"/>
    </row>
    <row r="771" ht="13.5" customHeight="1">
      <c r="A771" s="90"/>
      <c r="H771" s="91"/>
      <c r="I771" s="91"/>
      <c r="J771" s="91"/>
      <c r="S771" s="92"/>
      <c r="AD771" s="93"/>
      <c r="AE771" s="93"/>
    </row>
    <row r="772" ht="13.5" customHeight="1">
      <c r="A772" s="90"/>
      <c r="H772" s="91"/>
      <c r="I772" s="91"/>
      <c r="J772" s="91"/>
      <c r="S772" s="92"/>
      <c r="AD772" s="93"/>
      <c r="AE772" s="93"/>
    </row>
    <row r="773" ht="13.5" customHeight="1">
      <c r="A773" s="90"/>
      <c r="H773" s="91"/>
      <c r="I773" s="91"/>
      <c r="J773" s="91"/>
      <c r="S773" s="92"/>
      <c r="AD773" s="93"/>
      <c r="AE773" s="93"/>
    </row>
    <row r="774" ht="13.5" customHeight="1">
      <c r="A774" s="90"/>
      <c r="H774" s="91"/>
      <c r="I774" s="91"/>
      <c r="J774" s="91"/>
      <c r="S774" s="92"/>
      <c r="AD774" s="93"/>
      <c r="AE774" s="93"/>
    </row>
    <row r="775" ht="13.5" customHeight="1">
      <c r="A775" s="90"/>
      <c r="H775" s="91"/>
      <c r="I775" s="91"/>
      <c r="J775" s="91"/>
      <c r="S775" s="92"/>
      <c r="AD775" s="93"/>
      <c r="AE775" s="93"/>
    </row>
    <row r="776" ht="13.5" customHeight="1">
      <c r="A776" s="90"/>
      <c r="H776" s="91"/>
      <c r="I776" s="91"/>
      <c r="J776" s="91"/>
      <c r="S776" s="92"/>
      <c r="AD776" s="93"/>
      <c r="AE776" s="93"/>
    </row>
    <row r="777" ht="13.5" customHeight="1">
      <c r="A777" s="90"/>
      <c r="H777" s="91"/>
      <c r="I777" s="91"/>
      <c r="J777" s="91"/>
      <c r="S777" s="92"/>
      <c r="AD777" s="93"/>
      <c r="AE777" s="93"/>
    </row>
    <row r="778" ht="13.5" customHeight="1">
      <c r="A778" s="90"/>
      <c r="H778" s="91"/>
      <c r="I778" s="91"/>
      <c r="J778" s="91"/>
      <c r="S778" s="92"/>
      <c r="AD778" s="93"/>
      <c r="AE778" s="93"/>
    </row>
    <row r="779" ht="13.5" customHeight="1">
      <c r="A779" s="90"/>
      <c r="H779" s="91"/>
      <c r="I779" s="91"/>
      <c r="J779" s="91"/>
      <c r="S779" s="92"/>
      <c r="AD779" s="93"/>
      <c r="AE779" s="93"/>
    </row>
    <row r="780" ht="13.5" customHeight="1">
      <c r="A780" s="90"/>
      <c r="H780" s="91"/>
      <c r="I780" s="91"/>
      <c r="J780" s="91"/>
      <c r="S780" s="92"/>
      <c r="AD780" s="93"/>
      <c r="AE780" s="93"/>
    </row>
    <row r="781" ht="13.5" customHeight="1">
      <c r="A781" s="90"/>
      <c r="H781" s="91"/>
      <c r="I781" s="91"/>
      <c r="J781" s="91"/>
      <c r="S781" s="92"/>
      <c r="AD781" s="93"/>
      <c r="AE781" s="93"/>
    </row>
    <row r="782" ht="13.5" customHeight="1">
      <c r="A782" s="90"/>
      <c r="H782" s="91"/>
      <c r="I782" s="91"/>
      <c r="J782" s="91"/>
      <c r="S782" s="92"/>
      <c r="AD782" s="93"/>
      <c r="AE782" s="93"/>
    </row>
    <row r="783" ht="13.5" customHeight="1">
      <c r="A783" s="90"/>
      <c r="H783" s="91"/>
      <c r="I783" s="91"/>
      <c r="J783" s="91"/>
      <c r="S783" s="92"/>
      <c r="AD783" s="93"/>
      <c r="AE783" s="93"/>
    </row>
    <row r="784" ht="13.5" customHeight="1">
      <c r="A784" s="90"/>
      <c r="H784" s="91"/>
      <c r="I784" s="91"/>
      <c r="J784" s="91"/>
      <c r="S784" s="92"/>
      <c r="AD784" s="93"/>
      <c r="AE784" s="93"/>
    </row>
    <row r="785" ht="13.5" customHeight="1">
      <c r="A785" s="90"/>
      <c r="H785" s="91"/>
      <c r="I785" s="91"/>
      <c r="J785" s="91"/>
      <c r="S785" s="92"/>
      <c r="AD785" s="93"/>
      <c r="AE785" s="93"/>
    </row>
    <row r="786" ht="13.5" customHeight="1">
      <c r="A786" s="90"/>
      <c r="H786" s="91"/>
      <c r="I786" s="91"/>
      <c r="J786" s="91"/>
      <c r="S786" s="92"/>
      <c r="AD786" s="93"/>
      <c r="AE786" s="93"/>
    </row>
    <row r="787" ht="13.5" customHeight="1">
      <c r="A787" s="90"/>
      <c r="H787" s="91"/>
      <c r="I787" s="91"/>
      <c r="J787" s="91"/>
      <c r="S787" s="92"/>
      <c r="AD787" s="93"/>
      <c r="AE787" s="93"/>
    </row>
    <row r="788" ht="13.5" customHeight="1">
      <c r="A788" s="90"/>
      <c r="H788" s="91"/>
      <c r="I788" s="91"/>
      <c r="J788" s="91"/>
      <c r="S788" s="92"/>
      <c r="AD788" s="93"/>
      <c r="AE788" s="93"/>
    </row>
    <row r="789" ht="13.5" customHeight="1">
      <c r="A789" s="90"/>
      <c r="H789" s="91"/>
      <c r="I789" s="91"/>
      <c r="J789" s="91"/>
      <c r="S789" s="92"/>
      <c r="AD789" s="93"/>
      <c r="AE789" s="93"/>
    </row>
    <row r="790" ht="13.5" customHeight="1">
      <c r="A790" s="90"/>
      <c r="H790" s="91"/>
      <c r="I790" s="91"/>
      <c r="J790" s="91"/>
      <c r="S790" s="92"/>
      <c r="AD790" s="93"/>
      <c r="AE790" s="93"/>
    </row>
    <row r="791" ht="13.5" customHeight="1">
      <c r="A791" s="90"/>
      <c r="H791" s="91"/>
      <c r="I791" s="91"/>
      <c r="J791" s="91"/>
      <c r="S791" s="92"/>
      <c r="AD791" s="93"/>
      <c r="AE791" s="93"/>
    </row>
    <row r="792" ht="13.5" customHeight="1">
      <c r="A792" s="90"/>
      <c r="H792" s="91"/>
      <c r="I792" s="91"/>
      <c r="J792" s="91"/>
      <c r="S792" s="92"/>
      <c r="AD792" s="93"/>
      <c r="AE792" s="93"/>
    </row>
    <row r="793" ht="13.5" customHeight="1">
      <c r="A793" s="90"/>
      <c r="H793" s="91"/>
      <c r="I793" s="91"/>
      <c r="J793" s="91"/>
      <c r="S793" s="92"/>
      <c r="AD793" s="93"/>
      <c r="AE793" s="93"/>
    </row>
    <row r="794" ht="13.5" customHeight="1">
      <c r="A794" s="90"/>
      <c r="H794" s="91"/>
      <c r="I794" s="91"/>
      <c r="J794" s="91"/>
      <c r="S794" s="92"/>
      <c r="AD794" s="93"/>
      <c r="AE794" s="93"/>
    </row>
    <row r="795" ht="13.5" customHeight="1">
      <c r="A795" s="90"/>
      <c r="H795" s="91"/>
      <c r="I795" s="91"/>
      <c r="J795" s="91"/>
      <c r="S795" s="92"/>
      <c r="AD795" s="93"/>
      <c r="AE795" s="93"/>
    </row>
    <row r="796" ht="13.5" customHeight="1">
      <c r="A796" s="90"/>
      <c r="H796" s="91"/>
      <c r="I796" s="91"/>
      <c r="J796" s="91"/>
      <c r="S796" s="92"/>
      <c r="AD796" s="93"/>
      <c r="AE796" s="93"/>
    </row>
    <row r="797" ht="13.5" customHeight="1">
      <c r="A797" s="90"/>
      <c r="H797" s="91"/>
      <c r="I797" s="91"/>
      <c r="J797" s="91"/>
      <c r="S797" s="92"/>
      <c r="AD797" s="93"/>
      <c r="AE797" s="93"/>
    </row>
    <row r="798" ht="13.5" customHeight="1">
      <c r="A798" s="90"/>
      <c r="H798" s="91"/>
      <c r="I798" s="91"/>
      <c r="J798" s="91"/>
      <c r="S798" s="92"/>
      <c r="AD798" s="93"/>
      <c r="AE798" s="93"/>
    </row>
    <row r="799" ht="13.5" customHeight="1">
      <c r="A799" s="90"/>
      <c r="H799" s="91"/>
      <c r="I799" s="91"/>
      <c r="J799" s="91"/>
      <c r="S799" s="92"/>
      <c r="AD799" s="93"/>
      <c r="AE799" s="93"/>
    </row>
    <row r="800" ht="13.5" customHeight="1">
      <c r="A800" s="90"/>
      <c r="H800" s="91"/>
      <c r="I800" s="91"/>
      <c r="J800" s="91"/>
      <c r="S800" s="92"/>
      <c r="AD800" s="93"/>
      <c r="AE800" s="93"/>
    </row>
    <row r="801" ht="13.5" customHeight="1">
      <c r="A801" s="90"/>
      <c r="H801" s="91"/>
      <c r="I801" s="91"/>
      <c r="J801" s="91"/>
      <c r="S801" s="92"/>
      <c r="AD801" s="93"/>
      <c r="AE801" s="93"/>
    </row>
    <row r="802" ht="13.5" customHeight="1">
      <c r="A802" s="90"/>
      <c r="H802" s="91"/>
      <c r="I802" s="91"/>
      <c r="J802" s="91"/>
      <c r="S802" s="92"/>
      <c r="AD802" s="93"/>
      <c r="AE802" s="93"/>
    </row>
    <row r="803" ht="13.5" customHeight="1">
      <c r="A803" s="90"/>
      <c r="H803" s="91"/>
      <c r="I803" s="91"/>
      <c r="J803" s="91"/>
      <c r="S803" s="92"/>
      <c r="AD803" s="93"/>
      <c r="AE803" s="93"/>
    </row>
    <row r="804" ht="13.5" customHeight="1">
      <c r="A804" s="90"/>
      <c r="H804" s="91"/>
      <c r="I804" s="91"/>
      <c r="J804" s="91"/>
      <c r="S804" s="92"/>
      <c r="AD804" s="93"/>
      <c r="AE804" s="93"/>
    </row>
    <row r="805" ht="13.5" customHeight="1">
      <c r="A805" s="90"/>
      <c r="H805" s="91"/>
      <c r="I805" s="91"/>
      <c r="J805" s="91"/>
      <c r="S805" s="92"/>
      <c r="AD805" s="93"/>
      <c r="AE805" s="93"/>
    </row>
    <row r="806" ht="13.5" customHeight="1">
      <c r="A806" s="90"/>
      <c r="H806" s="91"/>
      <c r="I806" s="91"/>
      <c r="J806" s="91"/>
      <c r="S806" s="92"/>
      <c r="AD806" s="93"/>
      <c r="AE806" s="93"/>
    </row>
    <row r="807" ht="13.5" customHeight="1">
      <c r="A807" s="90"/>
      <c r="H807" s="91"/>
      <c r="I807" s="91"/>
      <c r="J807" s="91"/>
      <c r="S807" s="92"/>
      <c r="AD807" s="93"/>
      <c r="AE807" s="93"/>
    </row>
    <row r="808" ht="13.5" customHeight="1">
      <c r="A808" s="90"/>
      <c r="H808" s="91"/>
      <c r="I808" s="91"/>
      <c r="J808" s="91"/>
      <c r="S808" s="92"/>
      <c r="AD808" s="93"/>
      <c r="AE808" s="93"/>
    </row>
    <row r="809" ht="13.5" customHeight="1">
      <c r="A809" s="90"/>
      <c r="H809" s="91"/>
      <c r="I809" s="91"/>
      <c r="J809" s="91"/>
      <c r="S809" s="92"/>
      <c r="AD809" s="93"/>
      <c r="AE809" s="93"/>
    </row>
    <row r="810" ht="13.5" customHeight="1">
      <c r="A810" s="90"/>
      <c r="H810" s="91"/>
      <c r="I810" s="91"/>
      <c r="J810" s="91"/>
      <c r="S810" s="92"/>
      <c r="AD810" s="93"/>
      <c r="AE810" s="93"/>
    </row>
    <row r="811" ht="13.5" customHeight="1">
      <c r="A811" s="90"/>
      <c r="H811" s="91"/>
      <c r="I811" s="91"/>
      <c r="J811" s="91"/>
      <c r="S811" s="92"/>
      <c r="AD811" s="93"/>
      <c r="AE811" s="93"/>
    </row>
    <row r="812" ht="13.5" customHeight="1">
      <c r="A812" s="90"/>
      <c r="H812" s="91"/>
      <c r="I812" s="91"/>
      <c r="J812" s="91"/>
      <c r="S812" s="92"/>
      <c r="AD812" s="93"/>
      <c r="AE812" s="93"/>
    </row>
    <row r="813" ht="13.5" customHeight="1">
      <c r="A813" s="90"/>
      <c r="H813" s="91"/>
      <c r="I813" s="91"/>
      <c r="J813" s="91"/>
      <c r="S813" s="92"/>
      <c r="AD813" s="93"/>
      <c r="AE813" s="93"/>
    </row>
    <row r="814" ht="13.5" customHeight="1">
      <c r="A814" s="90"/>
      <c r="H814" s="91"/>
      <c r="I814" s="91"/>
      <c r="J814" s="91"/>
      <c r="S814" s="92"/>
      <c r="AD814" s="93"/>
      <c r="AE814" s="93"/>
    </row>
    <row r="815" ht="13.5" customHeight="1">
      <c r="A815" s="90"/>
      <c r="H815" s="91"/>
      <c r="I815" s="91"/>
      <c r="J815" s="91"/>
      <c r="S815" s="92"/>
      <c r="AD815" s="93"/>
      <c r="AE815" s="93"/>
    </row>
    <row r="816" ht="13.5" customHeight="1">
      <c r="A816" s="90"/>
      <c r="H816" s="91"/>
      <c r="I816" s="91"/>
      <c r="J816" s="91"/>
      <c r="S816" s="92"/>
      <c r="AD816" s="93"/>
      <c r="AE816" s="93"/>
    </row>
    <row r="817" ht="13.5" customHeight="1">
      <c r="A817" s="90"/>
      <c r="H817" s="91"/>
      <c r="I817" s="91"/>
      <c r="J817" s="91"/>
      <c r="S817" s="92"/>
      <c r="AD817" s="93"/>
      <c r="AE817" s="93"/>
    </row>
    <row r="818" ht="13.5" customHeight="1">
      <c r="A818" s="90"/>
      <c r="H818" s="91"/>
      <c r="I818" s="91"/>
      <c r="J818" s="91"/>
      <c r="S818" s="92"/>
      <c r="AD818" s="93"/>
      <c r="AE818" s="93"/>
    </row>
    <row r="819" ht="13.5" customHeight="1">
      <c r="A819" s="90"/>
      <c r="H819" s="91"/>
      <c r="I819" s="91"/>
      <c r="J819" s="91"/>
      <c r="S819" s="92"/>
      <c r="AD819" s="93"/>
      <c r="AE819" s="93"/>
    </row>
    <row r="820" ht="13.5" customHeight="1">
      <c r="A820" s="90"/>
      <c r="H820" s="91"/>
      <c r="I820" s="91"/>
      <c r="J820" s="91"/>
      <c r="S820" s="92"/>
      <c r="AD820" s="93"/>
      <c r="AE820" s="93"/>
    </row>
    <row r="821" ht="13.5" customHeight="1">
      <c r="A821" s="90"/>
      <c r="H821" s="91"/>
      <c r="I821" s="91"/>
      <c r="J821" s="91"/>
      <c r="S821" s="92"/>
      <c r="AD821" s="93"/>
      <c r="AE821" s="93"/>
    </row>
    <row r="822" ht="13.5" customHeight="1">
      <c r="A822" s="90"/>
      <c r="H822" s="91"/>
      <c r="I822" s="91"/>
      <c r="J822" s="91"/>
      <c r="S822" s="92"/>
      <c r="AD822" s="93"/>
      <c r="AE822" s="93"/>
    </row>
    <row r="823" ht="13.5" customHeight="1">
      <c r="A823" s="90"/>
      <c r="H823" s="91"/>
      <c r="I823" s="91"/>
      <c r="J823" s="91"/>
      <c r="S823" s="92"/>
      <c r="AD823" s="93"/>
      <c r="AE823" s="93"/>
    </row>
    <row r="824" ht="13.5" customHeight="1">
      <c r="A824" s="90"/>
      <c r="H824" s="91"/>
      <c r="I824" s="91"/>
      <c r="J824" s="91"/>
      <c r="S824" s="92"/>
      <c r="AD824" s="93"/>
      <c r="AE824" s="93"/>
    </row>
    <row r="825" ht="13.5" customHeight="1">
      <c r="A825" s="90"/>
      <c r="H825" s="91"/>
      <c r="I825" s="91"/>
      <c r="J825" s="91"/>
      <c r="S825" s="92"/>
      <c r="AD825" s="93"/>
      <c r="AE825" s="93"/>
    </row>
    <row r="826" ht="13.5" customHeight="1">
      <c r="A826" s="90"/>
      <c r="H826" s="91"/>
      <c r="I826" s="91"/>
      <c r="J826" s="91"/>
      <c r="S826" s="92"/>
      <c r="AD826" s="93"/>
      <c r="AE826" s="93"/>
    </row>
    <row r="827" ht="13.5" customHeight="1">
      <c r="A827" s="90"/>
      <c r="H827" s="91"/>
      <c r="I827" s="91"/>
      <c r="J827" s="91"/>
      <c r="S827" s="92"/>
      <c r="AD827" s="93"/>
      <c r="AE827" s="93"/>
    </row>
    <row r="828" ht="13.5" customHeight="1">
      <c r="A828" s="90"/>
      <c r="H828" s="91"/>
      <c r="I828" s="91"/>
      <c r="J828" s="91"/>
      <c r="S828" s="92"/>
      <c r="AD828" s="93"/>
      <c r="AE828" s="93"/>
    </row>
    <row r="829" ht="13.5" customHeight="1">
      <c r="A829" s="90"/>
      <c r="H829" s="91"/>
      <c r="I829" s="91"/>
      <c r="J829" s="91"/>
      <c r="S829" s="92"/>
      <c r="AD829" s="93"/>
      <c r="AE829" s="93"/>
    </row>
    <row r="830" ht="13.5" customHeight="1">
      <c r="A830" s="90"/>
      <c r="H830" s="91"/>
      <c r="I830" s="91"/>
      <c r="J830" s="91"/>
      <c r="S830" s="92"/>
      <c r="AD830" s="93"/>
      <c r="AE830" s="93"/>
    </row>
    <row r="831" ht="13.5" customHeight="1">
      <c r="A831" s="90"/>
      <c r="H831" s="91"/>
      <c r="I831" s="91"/>
      <c r="J831" s="91"/>
      <c r="S831" s="92"/>
      <c r="AD831" s="93"/>
      <c r="AE831" s="93"/>
    </row>
    <row r="832" ht="13.5" customHeight="1">
      <c r="A832" s="90"/>
      <c r="H832" s="91"/>
      <c r="I832" s="91"/>
      <c r="J832" s="91"/>
      <c r="S832" s="92"/>
      <c r="AD832" s="93"/>
      <c r="AE832" s="93"/>
    </row>
    <row r="833" ht="13.5" customHeight="1">
      <c r="A833" s="90"/>
      <c r="H833" s="91"/>
      <c r="I833" s="91"/>
      <c r="J833" s="91"/>
      <c r="S833" s="92"/>
      <c r="AD833" s="93"/>
      <c r="AE833" s="93"/>
    </row>
    <row r="834" ht="13.5" customHeight="1">
      <c r="A834" s="90"/>
      <c r="H834" s="91"/>
      <c r="I834" s="91"/>
      <c r="J834" s="91"/>
      <c r="S834" s="92"/>
      <c r="AD834" s="93"/>
      <c r="AE834" s="93"/>
    </row>
    <row r="835" ht="13.5" customHeight="1">
      <c r="A835" s="90"/>
      <c r="H835" s="91"/>
      <c r="I835" s="91"/>
      <c r="J835" s="91"/>
      <c r="S835" s="92"/>
      <c r="AD835" s="93"/>
      <c r="AE835" s="93"/>
    </row>
    <row r="836" ht="13.5" customHeight="1">
      <c r="A836" s="90"/>
      <c r="H836" s="91"/>
      <c r="I836" s="91"/>
      <c r="J836" s="91"/>
      <c r="S836" s="92"/>
      <c r="AD836" s="93"/>
      <c r="AE836" s="93"/>
    </row>
    <row r="837" ht="13.5" customHeight="1">
      <c r="A837" s="90"/>
      <c r="H837" s="91"/>
      <c r="I837" s="91"/>
      <c r="J837" s="91"/>
      <c r="S837" s="92"/>
      <c r="AD837" s="93"/>
      <c r="AE837" s="93"/>
    </row>
    <row r="838" ht="13.5" customHeight="1">
      <c r="A838" s="90"/>
      <c r="H838" s="91"/>
      <c r="I838" s="91"/>
      <c r="J838" s="91"/>
      <c r="S838" s="92"/>
      <c r="AD838" s="93"/>
      <c r="AE838" s="93"/>
    </row>
    <row r="839" ht="13.5" customHeight="1">
      <c r="A839" s="90"/>
      <c r="H839" s="91"/>
      <c r="I839" s="91"/>
      <c r="J839" s="91"/>
      <c r="S839" s="92"/>
      <c r="AD839" s="93"/>
      <c r="AE839" s="93"/>
    </row>
    <row r="840" ht="13.5" customHeight="1">
      <c r="A840" s="90"/>
      <c r="H840" s="91"/>
      <c r="I840" s="91"/>
      <c r="J840" s="91"/>
      <c r="S840" s="92"/>
      <c r="AD840" s="93"/>
      <c r="AE840" s="93"/>
    </row>
    <row r="841" ht="13.5" customHeight="1">
      <c r="A841" s="90"/>
      <c r="H841" s="91"/>
      <c r="I841" s="91"/>
      <c r="J841" s="91"/>
      <c r="S841" s="92"/>
      <c r="AD841" s="93"/>
      <c r="AE841" s="93"/>
    </row>
    <row r="842" ht="13.5" customHeight="1">
      <c r="A842" s="90"/>
      <c r="H842" s="91"/>
      <c r="I842" s="91"/>
      <c r="J842" s="91"/>
      <c r="S842" s="92"/>
      <c r="AD842" s="93"/>
      <c r="AE842" s="93"/>
    </row>
    <row r="843" ht="13.5" customHeight="1">
      <c r="A843" s="90"/>
      <c r="H843" s="91"/>
      <c r="I843" s="91"/>
      <c r="J843" s="91"/>
      <c r="S843" s="92"/>
      <c r="AD843" s="93"/>
      <c r="AE843" s="93"/>
    </row>
    <row r="844" ht="13.5" customHeight="1">
      <c r="A844" s="90"/>
      <c r="H844" s="91"/>
      <c r="I844" s="91"/>
      <c r="J844" s="91"/>
      <c r="S844" s="92"/>
      <c r="AD844" s="93"/>
      <c r="AE844" s="93"/>
    </row>
    <row r="845" ht="13.5" customHeight="1">
      <c r="A845" s="90"/>
      <c r="H845" s="91"/>
      <c r="I845" s="91"/>
      <c r="J845" s="91"/>
      <c r="S845" s="92"/>
      <c r="AD845" s="93"/>
      <c r="AE845" s="93"/>
    </row>
    <row r="846" ht="13.5" customHeight="1">
      <c r="A846" s="90"/>
      <c r="H846" s="91"/>
      <c r="I846" s="91"/>
      <c r="J846" s="91"/>
      <c r="S846" s="92"/>
      <c r="AD846" s="93"/>
      <c r="AE846" s="93"/>
    </row>
    <row r="847" ht="13.5" customHeight="1">
      <c r="A847" s="90"/>
      <c r="H847" s="91"/>
      <c r="I847" s="91"/>
      <c r="J847" s="91"/>
      <c r="S847" s="92"/>
      <c r="AD847" s="93"/>
      <c r="AE847" s="93"/>
    </row>
    <row r="848" ht="13.5" customHeight="1">
      <c r="A848" s="90"/>
      <c r="H848" s="91"/>
      <c r="I848" s="91"/>
      <c r="J848" s="91"/>
      <c r="S848" s="92"/>
      <c r="AD848" s="93"/>
      <c r="AE848" s="93"/>
    </row>
    <row r="849" ht="13.5" customHeight="1">
      <c r="A849" s="90"/>
      <c r="H849" s="91"/>
      <c r="I849" s="91"/>
      <c r="J849" s="91"/>
      <c r="S849" s="92"/>
      <c r="AD849" s="93"/>
      <c r="AE849" s="93"/>
    </row>
    <row r="850" ht="13.5" customHeight="1">
      <c r="A850" s="90"/>
      <c r="H850" s="91"/>
      <c r="I850" s="91"/>
      <c r="J850" s="91"/>
      <c r="S850" s="92"/>
      <c r="AD850" s="93"/>
      <c r="AE850" s="93"/>
    </row>
    <row r="851" ht="13.5" customHeight="1">
      <c r="A851" s="90"/>
      <c r="H851" s="91"/>
      <c r="I851" s="91"/>
      <c r="J851" s="91"/>
      <c r="S851" s="92"/>
      <c r="AD851" s="93"/>
      <c r="AE851" s="93"/>
    </row>
    <row r="852" ht="13.5" customHeight="1">
      <c r="A852" s="90"/>
      <c r="H852" s="91"/>
      <c r="I852" s="91"/>
      <c r="J852" s="91"/>
      <c r="S852" s="92"/>
      <c r="AD852" s="93"/>
      <c r="AE852" s="93"/>
    </row>
    <row r="853" ht="13.5" customHeight="1">
      <c r="A853" s="90"/>
      <c r="H853" s="91"/>
      <c r="I853" s="91"/>
      <c r="J853" s="91"/>
      <c r="S853" s="92"/>
      <c r="AD853" s="93"/>
      <c r="AE853" s="93"/>
    </row>
    <row r="854" ht="13.5" customHeight="1">
      <c r="A854" s="90"/>
      <c r="H854" s="91"/>
      <c r="I854" s="91"/>
      <c r="J854" s="91"/>
      <c r="S854" s="92"/>
      <c r="AD854" s="93"/>
      <c r="AE854" s="93"/>
    </row>
    <row r="855" ht="13.5" customHeight="1">
      <c r="A855" s="90"/>
      <c r="H855" s="91"/>
      <c r="I855" s="91"/>
      <c r="J855" s="91"/>
      <c r="S855" s="92"/>
      <c r="AD855" s="93"/>
      <c r="AE855" s="93"/>
    </row>
    <row r="856" ht="13.5" customHeight="1">
      <c r="A856" s="90"/>
      <c r="H856" s="91"/>
      <c r="I856" s="91"/>
      <c r="J856" s="91"/>
      <c r="S856" s="92"/>
      <c r="AD856" s="93"/>
      <c r="AE856" s="93"/>
    </row>
    <row r="857" ht="13.5" customHeight="1">
      <c r="A857" s="90"/>
      <c r="H857" s="91"/>
      <c r="I857" s="91"/>
      <c r="J857" s="91"/>
      <c r="S857" s="92"/>
      <c r="AD857" s="93"/>
      <c r="AE857" s="93"/>
    </row>
    <row r="858" ht="13.5" customHeight="1">
      <c r="A858" s="90"/>
      <c r="H858" s="91"/>
      <c r="I858" s="91"/>
      <c r="J858" s="91"/>
      <c r="S858" s="92"/>
      <c r="AD858" s="93"/>
      <c r="AE858" s="93"/>
    </row>
    <row r="859" ht="13.5" customHeight="1">
      <c r="A859" s="90"/>
      <c r="H859" s="91"/>
      <c r="I859" s="91"/>
      <c r="J859" s="91"/>
      <c r="S859" s="92"/>
      <c r="AD859" s="93"/>
      <c r="AE859" s="93"/>
    </row>
    <row r="860" ht="13.5" customHeight="1">
      <c r="A860" s="90"/>
      <c r="H860" s="91"/>
      <c r="I860" s="91"/>
      <c r="J860" s="91"/>
      <c r="S860" s="92"/>
      <c r="AD860" s="93"/>
      <c r="AE860" s="93"/>
    </row>
    <row r="861" ht="13.5" customHeight="1">
      <c r="A861" s="90"/>
      <c r="H861" s="91"/>
      <c r="I861" s="91"/>
      <c r="J861" s="91"/>
      <c r="S861" s="92"/>
      <c r="AD861" s="93"/>
      <c r="AE861" s="93"/>
    </row>
    <row r="862" ht="13.5" customHeight="1">
      <c r="A862" s="90"/>
      <c r="H862" s="91"/>
      <c r="I862" s="91"/>
      <c r="J862" s="91"/>
      <c r="S862" s="92"/>
      <c r="AD862" s="93"/>
      <c r="AE862" s="93"/>
    </row>
    <row r="863" ht="13.5" customHeight="1">
      <c r="A863" s="90"/>
      <c r="H863" s="91"/>
      <c r="I863" s="91"/>
      <c r="J863" s="91"/>
      <c r="S863" s="92"/>
      <c r="AD863" s="93"/>
      <c r="AE863" s="93"/>
    </row>
    <row r="864" ht="13.5" customHeight="1">
      <c r="A864" s="90"/>
      <c r="H864" s="91"/>
      <c r="I864" s="91"/>
      <c r="J864" s="91"/>
      <c r="S864" s="92"/>
      <c r="AD864" s="93"/>
      <c r="AE864" s="93"/>
    </row>
    <row r="865" ht="13.5" customHeight="1">
      <c r="A865" s="90"/>
      <c r="H865" s="91"/>
      <c r="I865" s="91"/>
      <c r="J865" s="91"/>
      <c r="S865" s="92"/>
      <c r="AD865" s="93"/>
      <c r="AE865" s="93"/>
    </row>
    <row r="866" ht="13.5" customHeight="1">
      <c r="A866" s="90"/>
      <c r="H866" s="91"/>
      <c r="I866" s="91"/>
      <c r="J866" s="91"/>
      <c r="S866" s="92"/>
      <c r="AD866" s="93"/>
      <c r="AE866" s="93"/>
    </row>
    <row r="867" ht="13.5" customHeight="1">
      <c r="A867" s="90"/>
      <c r="H867" s="91"/>
      <c r="I867" s="91"/>
      <c r="J867" s="91"/>
      <c r="S867" s="92"/>
      <c r="AD867" s="93"/>
      <c r="AE867" s="93"/>
    </row>
    <row r="868" ht="13.5" customHeight="1">
      <c r="A868" s="90"/>
      <c r="H868" s="91"/>
      <c r="I868" s="91"/>
      <c r="J868" s="91"/>
      <c r="S868" s="92"/>
      <c r="AD868" s="93"/>
      <c r="AE868" s="93"/>
    </row>
    <row r="869" ht="13.5" customHeight="1">
      <c r="A869" s="90"/>
      <c r="H869" s="91"/>
      <c r="I869" s="91"/>
      <c r="J869" s="91"/>
      <c r="S869" s="92"/>
      <c r="AD869" s="93"/>
      <c r="AE869" s="93"/>
    </row>
    <row r="870" ht="13.5" customHeight="1">
      <c r="A870" s="90"/>
      <c r="H870" s="91"/>
      <c r="I870" s="91"/>
      <c r="J870" s="91"/>
      <c r="S870" s="92"/>
      <c r="AD870" s="93"/>
      <c r="AE870" s="93"/>
    </row>
    <row r="871" ht="13.5" customHeight="1">
      <c r="A871" s="90"/>
      <c r="H871" s="91"/>
      <c r="I871" s="91"/>
      <c r="J871" s="91"/>
      <c r="S871" s="92"/>
      <c r="AD871" s="93"/>
      <c r="AE871" s="93"/>
    </row>
    <row r="872" ht="13.5" customHeight="1">
      <c r="A872" s="90"/>
      <c r="H872" s="91"/>
      <c r="I872" s="91"/>
      <c r="J872" s="91"/>
      <c r="S872" s="92"/>
      <c r="AD872" s="93"/>
      <c r="AE872" s="93"/>
    </row>
    <row r="873" ht="13.5" customHeight="1">
      <c r="A873" s="90"/>
      <c r="H873" s="91"/>
      <c r="I873" s="91"/>
      <c r="J873" s="91"/>
      <c r="S873" s="92"/>
      <c r="AD873" s="93"/>
      <c r="AE873" s="93"/>
    </row>
    <row r="874" ht="13.5" customHeight="1">
      <c r="A874" s="90"/>
      <c r="H874" s="91"/>
      <c r="I874" s="91"/>
      <c r="J874" s="91"/>
      <c r="S874" s="92"/>
      <c r="AD874" s="93"/>
      <c r="AE874" s="93"/>
    </row>
    <row r="875" ht="13.5" customHeight="1">
      <c r="A875" s="90"/>
      <c r="H875" s="91"/>
      <c r="I875" s="91"/>
      <c r="J875" s="91"/>
      <c r="S875" s="92"/>
      <c r="AD875" s="93"/>
      <c r="AE875" s="93"/>
    </row>
    <row r="876" ht="13.5" customHeight="1">
      <c r="A876" s="90"/>
      <c r="H876" s="91"/>
      <c r="I876" s="91"/>
      <c r="J876" s="91"/>
      <c r="S876" s="92"/>
      <c r="AD876" s="93"/>
      <c r="AE876" s="93"/>
    </row>
    <row r="877" ht="13.5" customHeight="1">
      <c r="A877" s="90"/>
      <c r="H877" s="91"/>
      <c r="I877" s="91"/>
      <c r="J877" s="91"/>
      <c r="S877" s="92"/>
      <c r="AD877" s="93"/>
      <c r="AE877" s="93"/>
    </row>
    <row r="878" ht="13.5" customHeight="1">
      <c r="A878" s="90"/>
      <c r="H878" s="91"/>
      <c r="I878" s="91"/>
      <c r="J878" s="91"/>
      <c r="S878" s="92"/>
      <c r="AD878" s="93"/>
      <c r="AE878" s="93"/>
    </row>
    <row r="879" ht="13.5" customHeight="1">
      <c r="A879" s="90"/>
      <c r="H879" s="91"/>
      <c r="I879" s="91"/>
      <c r="J879" s="91"/>
      <c r="S879" s="92"/>
      <c r="AD879" s="93"/>
      <c r="AE879" s="93"/>
    </row>
    <row r="880" ht="13.5" customHeight="1">
      <c r="A880" s="90"/>
      <c r="H880" s="91"/>
      <c r="I880" s="91"/>
      <c r="J880" s="91"/>
      <c r="S880" s="92"/>
      <c r="AD880" s="93"/>
      <c r="AE880" s="93"/>
    </row>
    <row r="881" ht="13.5" customHeight="1">
      <c r="A881" s="90"/>
      <c r="H881" s="91"/>
      <c r="I881" s="91"/>
      <c r="J881" s="91"/>
      <c r="S881" s="92"/>
      <c r="AD881" s="93"/>
      <c r="AE881" s="93"/>
    </row>
    <row r="882" ht="13.5" customHeight="1">
      <c r="A882" s="90"/>
      <c r="H882" s="91"/>
      <c r="I882" s="91"/>
      <c r="J882" s="91"/>
      <c r="S882" s="92"/>
      <c r="AD882" s="93"/>
      <c r="AE882" s="93"/>
    </row>
    <row r="883" ht="13.5" customHeight="1">
      <c r="A883" s="90"/>
      <c r="H883" s="91"/>
      <c r="I883" s="91"/>
      <c r="J883" s="91"/>
      <c r="S883" s="92"/>
      <c r="AD883" s="93"/>
      <c r="AE883" s="93"/>
    </row>
    <row r="884" ht="13.5" customHeight="1">
      <c r="A884" s="90"/>
      <c r="H884" s="91"/>
      <c r="I884" s="91"/>
      <c r="J884" s="91"/>
      <c r="S884" s="92"/>
      <c r="AD884" s="93"/>
      <c r="AE884" s="93"/>
    </row>
    <row r="885" ht="13.5" customHeight="1">
      <c r="A885" s="90"/>
      <c r="H885" s="91"/>
      <c r="I885" s="91"/>
      <c r="J885" s="91"/>
      <c r="S885" s="92"/>
      <c r="AD885" s="93"/>
      <c r="AE885" s="93"/>
    </row>
    <row r="886" ht="13.5" customHeight="1">
      <c r="A886" s="90"/>
      <c r="H886" s="91"/>
      <c r="I886" s="91"/>
      <c r="J886" s="91"/>
      <c r="S886" s="92"/>
      <c r="AD886" s="93"/>
      <c r="AE886" s="93"/>
    </row>
    <row r="887" ht="13.5" customHeight="1">
      <c r="A887" s="90"/>
      <c r="H887" s="91"/>
      <c r="I887" s="91"/>
      <c r="J887" s="91"/>
      <c r="S887" s="92"/>
      <c r="AD887" s="93"/>
      <c r="AE887" s="93"/>
    </row>
    <row r="888" ht="13.5" customHeight="1">
      <c r="A888" s="90"/>
      <c r="H888" s="91"/>
      <c r="I888" s="91"/>
      <c r="J888" s="91"/>
      <c r="S888" s="92"/>
      <c r="AD888" s="93"/>
      <c r="AE888" s="93"/>
    </row>
    <row r="889" ht="13.5" customHeight="1">
      <c r="A889" s="90"/>
      <c r="H889" s="91"/>
      <c r="I889" s="91"/>
      <c r="J889" s="91"/>
      <c r="S889" s="92"/>
      <c r="AD889" s="93"/>
      <c r="AE889" s="93"/>
    </row>
    <row r="890" ht="13.5" customHeight="1">
      <c r="A890" s="90"/>
      <c r="H890" s="91"/>
      <c r="I890" s="91"/>
      <c r="J890" s="91"/>
      <c r="S890" s="92"/>
      <c r="AD890" s="93"/>
      <c r="AE890" s="93"/>
    </row>
    <row r="891" ht="13.5" customHeight="1">
      <c r="A891" s="90"/>
      <c r="H891" s="91"/>
      <c r="I891" s="91"/>
      <c r="J891" s="91"/>
      <c r="S891" s="92"/>
      <c r="AD891" s="93"/>
      <c r="AE891" s="93"/>
    </row>
    <row r="892" ht="13.5" customHeight="1">
      <c r="A892" s="90"/>
      <c r="H892" s="91"/>
      <c r="I892" s="91"/>
      <c r="J892" s="91"/>
      <c r="S892" s="92"/>
      <c r="AD892" s="93"/>
      <c r="AE892" s="93"/>
    </row>
    <row r="893" ht="13.5" customHeight="1">
      <c r="A893" s="90"/>
      <c r="H893" s="91"/>
      <c r="I893" s="91"/>
      <c r="J893" s="91"/>
      <c r="S893" s="92"/>
      <c r="AD893" s="93"/>
      <c r="AE893" s="93"/>
    </row>
    <row r="894" ht="13.5" customHeight="1">
      <c r="A894" s="90"/>
      <c r="H894" s="91"/>
      <c r="I894" s="91"/>
      <c r="J894" s="91"/>
      <c r="S894" s="92"/>
      <c r="AD894" s="93"/>
      <c r="AE894" s="93"/>
    </row>
    <row r="895" ht="13.5" customHeight="1">
      <c r="A895" s="90"/>
      <c r="H895" s="91"/>
      <c r="I895" s="91"/>
      <c r="J895" s="91"/>
      <c r="S895" s="92"/>
      <c r="AD895" s="93"/>
      <c r="AE895" s="93"/>
    </row>
    <row r="896" ht="13.5" customHeight="1">
      <c r="A896" s="90"/>
      <c r="H896" s="91"/>
      <c r="I896" s="91"/>
      <c r="J896" s="91"/>
      <c r="S896" s="92"/>
      <c r="AD896" s="93"/>
      <c r="AE896" s="93"/>
    </row>
    <row r="897" ht="13.5" customHeight="1">
      <c r="A897" s="90"/>
      <c r="H897" s="91"/>
      <c r="I897" s="91"/>
      <c r="J897" s="91"/>
      <c r="S897" s="92"/>
      <c r="AD897" s="93"/>
      <c r="AE897" s="93"/>
    </row>
    <row r="898" ht="13.5" customHeight="1">
      <c r="A898" s="90"/>
      <c r="H898" s="91"/>
      <c r="I898" s="91"/>
      <c r="J898" s="91"/>
      <c r="S898" s="92"/>
      <c r="AD898" s="93"/>
      <c r="AE898" s="93"/>
    </row>
    <row r="899" ht="13.5" customHeight="1">
      <c r="A899" s="90"/>
      <c r="H899" s="91"/>
      <c r="I899" s="91"/>
      <c r="J899" s="91"/>
      <c r="S899" s="92"/>
      <c r="AD899" s="93"/>
      <c r="AE899" s="93"/>
    </row>
    <row r="900" ht="13.5" customHeight="1">
      <c r="A900" s="90"/>
      <c r="H900" s="91"/>
      <c r="I900" s="91"/>
      <c r="J900" s="91"/>
      <c r="S900" s="92"/>
      <c r="AD900" s="93"/>
      <c r="AE900" s="93"/>
    </row>
    <row r="901" ht="13.5" customHeight="1">
      <c r="A901" s="90"/>
      <c r="H901" s="91"/>
      <c r="I901" s="91"/>
      <c r="J901" s="91"/>
      <c r="S901" s="92"/>
      <c r="AD901" s="93"/>
      <c r="AE901" s="93"/>
    </row>
    <row r="902" ht="13.5" customHeight="1">
      <c r="A902" s="90"/>
      <c r="H902" s="91"/>
      <c r="I902" s="91"/>
      <c r="J902" s="91"/>
      <c r="S902" s="92"/>
      <c r="AD902" s="93"/>
      <c r="AE902" s="93"/>
    </row>
    <row r="903" ht="13.5" customHeight="1">
      <c r="A903" s="90"/>
      <c r="H903" s="91"/>
      <c r="I903" s="91"/>
      <c r="J903" s="91"/>
      <c r="S903" s="92"/>
      <c r="AD903" s="93"/>
      <c r="AE903" s="93"/>
    </row>
    <row r="904" ht="13.5" customHeight="1">
      <c r="A904" s="90"/>
      <c r="H904" s="91"/>
      <c r="I904" s="91"/>
      <c r="J904" s="91"/>
      <c r="S904" s="92"/>
      <c r="AD904" s="93"/>
      <c r="AE904" s="93"/>
    </row>
    <row r="905" ht="13.5" customHeight="1">
      <c r="A905" s="90"/>
      <c r="H905" s="91"/>
      <c r="I905" s="91"/>
      <c r="J905" s="91"/>
      <c r="S905" s="92"/>
      <c r="AD905" s="93"/>
      <c r="AE905" s="93"/>
    </row>
    <row r="906" ht="13.5" customHeight="1">
      <c r="A906" s="90"/>
      <c r="H906" s="91"/>
      <c r="I906" s="91"/>
      <c r="J906" s="91"/>
      <c r="S906" s="92"/>
      <c r="AD906" s="93"/>
      <c r="AE906" s="93"/>
    </row>
    <row r="907" ht="13.5" customHeight="1">
      <c r="A907" s="90"/>
      <c r="H907" s="91"/>
      <c r="I907" s="91"/>
      <c r="J907" s="91"/>
      <c r="S907" s="92"/>
      <c r="AD907" s="93"/>
      <c r="AE907" s="93"/>
    </row>
    <row r="908" ht="13.5" customHeight="1">
      <c r="A908" s="90"/>
      <c r="H908" s="91"/>
      <c r="I908" s="91"/>
      <c r="J908" s="91"/>
      <c r="S908" s="92"/>
      <c r="AD908" s="93"/>
      <c r="AE908" s="93"/>
    </row>
    <row r="909" ht="13.5" customHeight="1">
      <c r="A909" s="90"/>
      <c r="H909" s="91"/>
      <c r="I909" s="91"/>
      <c r="J909" s="91"/>
      <c r="S909" s="92"/>
      <c r="AD909" s="93"/>
      <c r="AE909" s="93"/>
    </row>
    <row r="910" ht="13.5" customHeight="1">
      <c r="A910" s="90"/>
      <c r="H910" s="91"/>
      <c r="I910" s="91"/>
      <c r="J910" s="91"/>
      <c r="S910" s="92"/>
      <c r="AD910" s="93"/>
      <c r="AE910" s="93"/>
    </row>
    <row r="911" ht="13.5" customHeight="1">
      <c r="A911" s="90"/>
      <c r="H911" s="91"/>
      <c r="I911" s="91"/>
      <c r="J911" s="91"/>
      <c r="S911" s="92"/>
      <c r="AD911" s="93"/>
      <c r="AE911" s="93"/>
    </row>
    <row r="912" ht="13.5" customHeight="1">
      <c r="A912" s="90"/>
      <c r="H912" s="91"/>
      <c r="I912" s="91"/>
      <c r="J912" s="91"/>
      <c r="S912" s="92"/>
      <c r="AD912" s="93"/>
      <c r="AE912" s="93"/>
    </row>
    <row r="913" ht="13.5" customHeight="1">
      <c r="A913" s="90"/>
      <c r="H913" s="91"/>
      <c r="I913" s="91"/>
      <c r="J913" s="91"/>
      <c r="S913" s="92"/>
      <c r="AD913" s="93"/>
      <c r="AE913" s="93"/>
    </row>
    <row r="914" ht="13.5" customHeight="1">
      <c r="A914" s="90"/>
      <c r="H914" s="91"/>
      <c r="I914" s="91"/>
      <c r="J914" s="91"/>
      <c r="S914" s="92"/>
      <c r="AD914" s="93"/>
      <c r="AE914" s="93"/>
    </row>
    <row r="915" ht="13.5" customHeight="1">
      <c r="A915" s="90"/>
      <c r="H915" s="91"/>
      <c r="I915" s="91"/>
      <c r="J915" s="91"/>
      <c r="S915" s="92"/>
      <c r="AD915" s="93"/>
      <c r="AE915" s="93"/>
    </row>
    <row r="916" ht="13.5" customHeight="1">
      <c r="A916" s="90"/>
      <c r="H916" s="91"/>
      <c r="I916" s="91"/>
      <c r="J916" s="91"/>
      <c r="S916" s="92"/>
      <c r="AD916" s="93"/>
      <c r="AE916" s="93"/>
    </row>
    <row r="917" ht="13.5" customHeight="1">
      <c r="A917" s="90"/>
      <c r="H917" s="91"/>
      <c r="I917" s="91"/>
      <c r="J917" s="91"/>
      <c r="S917" s="92"/>
      <c r="AD917" s="93"/>
      <c r="AE917" s="93"/>
    </row>
    <row r="918" ht="13.5" customHeight="1">
      <c r="A918" s="90"/>
      <c r="H918" s="91"/>
      <c r="I918" s="91"/>
      <c r="J918" s="91"/>
      <c r="S918" s="92"/>
      <c r="AD918" s="93"/>
      <c r="AE918" s="93"/>
    </row>
    <row r="919" ht="13.5" customHeight="1">
      <c r="A919" s="90"/>
      <c r="H919" s="91"/>
      <c r="I919" s="91"/>
      <c r="J919" s="91"/>
      <c r="S919" s="92"/>
      <c r="AD919" s="93"/>
      <c r="AE919" s="93"/>
    </row>
    <row r="920" ht="13.5" customHeight="1">
      <c r="A920" s="90"/>
      <c r="H920" s="91"/>
      <c r="I920" s="91"/>
      <c r="J920" s="91"/>
      <c r="S920" s="92"/>
      <c r="AD920" s="93"/>
      <c r="AE920" s="93"/>
    </row>
    <row r="921" ht="13.5" customHeight="1">
      <c r="A921" s="90"/>
      <c r="H921" s="91"/>
      <c r="I921" s="91"/>
      <c r="J921" s="91"/>
      <c r="S921" s="92"/>
      <c r="AD921" s="93"/>
      <c r="AE921" s="93"/>
    </row>
    <row r="922" ht="13.5" customHeight="1">
      <c r="A922" s="90"/>
      <c r="H922" s="91"/>
      <c r="I922" s="91"/>
      <c r="J922" s="91"/>
      <c r="S922" s="92"/>
      <c r="AD922" s="93"/>
      <c r="AE922" s="93"/>
    </row>
    <row r="923" ht="13.5" customHeight="1">
      <c r="A923" s="90"/>
      <c r="H923" s="91"/>
      <c r="I923" s="91"/>
      <c r="J923" s="91"/>
      <c r="S923" s="92"/>
      <c r="AD923" s="93"/>
      <c r="AE923" s="93"/>
    </row>
    <row r="924" ht="13.5" customHeight="1">
      <c r="A924" s="90"/>
      <c r="H924" s="91"/>
      <c r="I924" s="91"/>
      <c r="J924" s="91"/>
      <c r="S924" s="92"/>
      <c r="AD924" s="93"/>
      <c r="AE924" s="93"/>
    </row>
    <row r="925" ht="13.5" customHeight="1">
      <c r="A925" s="90"/>
      <c r="H925" s="91"/>
      <c r="I925" s="91"/>
      <c r="J925" s="91"/>
      <c r="S925" s="92"/>
      <c r="AD925" s="93"/>
      <c r="AE925" s="93"/>
    </row>
    <row r="926" ht="13.5" customHeight="1">
      <c r="A926" s="90"/>
      <c r="H926" s="91"/>
      <c r="I926" s="91"/>
      <c r="J926" s="91"/>
      <c r="S926" s="92"/>
      <c r="AD926" s="93"/>
      <c r="AE926" s="93"/>
    </row>
    <row r="927" ht="13.5" customHeight="1">
      <c r="A927" s="90"/>
      <c r="H927" s="91"/>
      <c r="I927" s="91"/>
      <c r="J927" s="91"/>
      <c r="S927" s="92"/>
      <c r="AD927" s="93"/>
      <c r="AE927" s="93"/>
    </row>
    <row r="928" ht="13.5" customHeight="1">
      <c r="A928" s="90"/>
      <c r="H928" s="91"/>
      <c r="I928" s="91"/>
      <c r="J928" s="91"/>
      <c r="S928" s="92"/>
      <c r="AD928" s="93"/>
      <c r="AE928" s="93"/>
    </row>
    <row r="929" ht="13.5" customHeight="1">
      <c r="A929" s="90"/>
      <c r="H929" s="91"/>
      <c r="I929" s="91"/>
      <c r="J929" s="91"/>
      <c r="S929" s="92"/>
      <c r="AD929" s="93"/>
      <c r="AE929" s="93"/>
    </row>
    <row r="930" ht="13.5" customHeight="1">
      <c r="A930" s="90"/>
      <c r="H930" s="91"/>
      <c r="I930" s="91"/>
      <c r="J930" s="91"/>
      <c r="S930" s="92"/>
      <c r="AD930" s="93"/>
      <c r="AE930" s="93"/>
    </row>
    <row r="931" ht="13.5" customHeight="1">
      <c r="A931" s="90"/>
      <c r="H931" s="91"/>
      <c r="I931" s="91"/>
      <c r="J931" s="91"/>
      <c r="S931" s="92"/>
      <c r="AD931" s="93"/>
      <c r="AE931" s="93"/>
    </row>
    <row r="932" ht="13.5" customHeight="1">
      <c r="A932" s="90"/>
      <c r="H932" s="91"/>
      <c r="I932" s="91"/>
      <c r="J932" s="91"/>
      <c r="S932" s="92"/>
      <c r="AD932" s="93"/>
      <c r="AE932" s="93"/>
    </row>
    <row r="933" ht="13.5" customHeight="1">
      <c r="A933" s="90"/>
      <c r="H933" s="91"/>
      <c r="I933" s="91"/>
      <c r="J933" s="91"/>
      <c r="S933" s="92"/>
      <c r="AD933" s="93"/>
      <c r="AE933" s="93"/>
    </row>
    <row r="934" ht="13.5" customHeight="1">
      <c r="A934" s="90"/>
      <c r="H934" s="91"/>
      <c r="I934" s="91"/>
      <c r="J934" s="91"/>
      <c r="S934" s="92"/>
      <c r="AD934" s="93"/>
      <c r="AE934" s="93"/>
    </row>
    <row r="935" ht="13.5" customHeight="1">
      <c r="A935" s="90"/>
      <c r="H935" s="91"/>
      <c r="I935" s="91"/>
      <c r="J935" s="91"/>
      <c r="S935" s="92"/>
      <c r="AD935" s="93"/>
      <c r="AE935" s="93"/>
    </row>
    <row r="936" ht="13.5" customHeight="1">
      <c r="A936" s="90"/>
      <c r="H936" s="91"/>
      <c r="I936" s="91"/>
      <c r="J936" s="91"/>
      <c r="S936" s="92"/>
      <c r="AD936" s="93"/>
      <c r="AE936" s="93"/>
    </row>
    <row r="937" ht="13.5" customHeight="1">
      <c r="A937" s="90"/>
      <c r="H937" s="91"/>
      <c r="I937" s="91"/>
      <c r="J937" s="91"/>
      <c r="S937" s="92"/>
      <c r="AD937" s="93"/>
      <c r="AE937" s="93"/>
    </row>
    <row r="938" ht="13.5" customHeight="1">
      <c r="A938" s="90"/>
      <c r="H938" s="91"/>
      <c r="I938" s="91"/>
      <c r="J938" s="91"/>
      <c r="S938" s="92"/>
      <c r="AD938" s="93"/>
      <c r="AE938" s="93"/>
    </row>
    <row r="939" ht="13.5" customHeight="1">
      <c r="A939" s="90"/>
      <c r="H939" s="91"/>
      <c r="I939" s="91"/>
      <c r="J939" s="91"/>
      <c r="S939" s="92"/>
      <c r="AD939" s="93"/>
      <c r="AE939" s="93"/>
    </row>
    <row r="940" ht="13.5" customHeight="1">
      <c r="A940" s="90"/>
      <c r="H940" s="91"/>
      <c r="I940" s="91"/>
      <c r="J940" s="91"/>
      <c r="S940" s="92"/>
      <c r="AD940" s="93"/>
      <c r="AE940" s="93"/>
    </row>
    <row r="941" ht="13.5" customHeight="1">
      <c r="A941" s="90"/>
      <c r="H941" s="91"/>
      <c r="I941" s="91"/>
      <c r="J941" s="91"/>
      <c r="S941" s="92"/>
      <c r="AD941" s="93"/>
      <c r="AE941" s="93"/>
    </row>
    <row r="942" ht="13.5" customHeight="1">
      <c r="A942" s="90"/>
      <c r="H942" s="91"/>
      <c r="I942" s="91"/>
      <c r="J942" s="91"/>
      <c r="S942" s="92"/>
      <c r="AD942" s="93"/>
      <c r="AE942" s="93"/>
    </row>
    <row r="943" ht="13.5" customHeight="1">
      <c r="A943" s="90"/>
      <c r="H943" s="91"/>
      <c r="I943" s="91"/>
      <c r="J943" s="91"/>
      <c r="S943" s="92"/>
      <c r="AD943" s="93"/>
      <c r="AE943" s="93"/>
    </row>
    <row r="944" ht="13.5" customHeight="1">
      <c r="A944" s="90"/>
      <c r="H944" s="91"/>
      <c r="I944" s="91"/>
      <c r="J944" s="91"/>
      <c r="S944" s="92"/>
      <c r="AD944" s="93"/>
      <c r="AE944" s="93"/>
    </row>
    <row r="945" ht="13.5" customHeight="1">
      <c r="A945" s="90"/>
      <c r="H945" s="91"/>
      <c r="I945" s="91"/>
      <c r="J945" s="91"/>
      <c r="S945" s="92"/>
      <c r="AD945" s="93"/>
      <c r="AE945" s="93"/>
    </row>
    <row r="946" ht="13.5" customHeight="1">
      <c r="A946" s="90"/>
      <c r="H946" s="91"/>
      <c r="I946" s="91"/>
      <c r="J946" s="91"/>
      <c r="S946" s="92"/>
      <c r="AD946" s="93"/>
      <c r="AE946" s="93"/>
    </row>
    <row r="947" ht="13.5" customHeight="1">
      <c r="A947" s="90"/>
      <c r="H947" s="91"/>
      <c r="I947" s="91"/>
      <c r="J947" s="91"/>
      <c r="S947" s="92"/>
      <c r="AD947" s="93"/>
      <c r="AE947" s="93"/>
    </row>
    <row r="948" ht="13.5" customHeight="1">
      <c r="A948" s="90"/>
      <c r="H948" s="91"/>
      <c r="I948" s="91"/>
      <c r="J948" s="91"/>
      <c r="S948" s="92"/>
      <c r="AD948" s="93"/>
      <c r="AE948" s="93"/>
    </row>
    <row r="949" ht="13.5" customHeight="1">
      <c r="A949" s="90"/>
      <c r="H949" s="91"/>
      <c r="I949" s="91"/>
      <c r="J949" s="91"/>
      <c r="S949" s="92"/>
      <c r="AD949" s="93"/>
      <c r="AE949" s="93"/>
    </row>
    <row r="950" ht="13.5" customHeight="1">
      <c r="A950" s="90"/>
      <c r="H950" s="91"/>
      <c r="I950" s="91"/>
      <c r="J950" s="91"/>
      <c r="S950" s="92"/>
      <c r="AD950" s="93"/>
      <c r="AE950" s="93"/>
    </row>
    <row r="951" ht="13.5" customHeight="1">
      <c r="A951" s="90"/>
      <c r="H951" s="91"/>
      <c r="I951" s="91"/>
      <c r="J951" s="91"/>
      <c r="S951" s="92"/>
      <c r="AD951" s="93"/>
      <c r="AE951" s="93"/>
    </row>
    <row r="952" ht="13.5" customHeight="1">
      <c r="A952" s="90"/>
      <c r="H952" s="91"/>
      <c r="I952" s="91"/>
      <c r="J952" s="91"/>
      <c r="S952" s="92"/>
      <c r="AD952" s="93"/>
      <c r="AE952" s="93"/>
    </row>
    <row r="953" ht="13.5" customHeight="1">
      <c r="A953" s="90"/>
      <c r="H953" s="91"/>
      <c r="I953" s="91"/>
      <c r="J953" s="91"/>
      <c r="S953" s="92"/>
      <c r="AD953" s="93"/>
      <c r="AE953" s="93"/>
    </row>
    <row r="954" ht="13.5" customHeight="1">
      <c r="A954" s="90"/>
      <c r="H954" s="91"/>
      <c r="I954" s="91"/>
      <c r="J954" s="91"/>
      <c r="S954" s="92"/>
      <c r="AD954" s="93"/>
      <c r="AE954" s="93"/>
    </row>
    <row r="955" ht="13.5" customHeight="1">
      <c r="A955" s="90"/>
      <c r="H955" s="91"/>
      <c r="I955" s="91"/>
      <c r="J955" s="91"/>
      <c r="S955" s="92"/>
      <c r="AD955" s="93"/>
      <c r="AE955" s="93"/>
    </row>
    <row r="956" ht="13.5" customHeight="1">
      <c r="A956" s="90"/>
      <c r="H956" s="91"/>
      <c r="I956" s="91"/>
      <c r="J956" s="91"/>
      <c r="S956" s="92"/>
      <c r="AD956" s="93"/>
      <c r="AE956" s="93"/>
    </row>
    <row r="957" ht="13.5" customHeight="1">
      <c r="A957" s="90"/>
      <c r="H957" s="91"/>
      <c r="I957" s="91"/>
      <c r="J957" s="91"/>
      <c r="S957" s="92"/>
      <c r="AD957" s="93"/>
      <c r="AE957" s="93"/>
    </row>
    <row r="958" ht="13.5" customHeight="1">
      <c r="A958" s="90"/>
      <c r="H958" s="91"/>
      <c r="I958" s="91"/>
      <c r="J958" s="91"/>
      <c r="S958" s="92"/>
      <c r="AD958" s="93"/>
      <c r="AE958" s="93"/>
    </row>
    <row r="959" ht="13.5" customHeight="1">
      <c r="A959" s="90"/>
      <c r="H959" s="91"/>
      <c r="I959" s="91"/>
      <c r="J959" s="91"/>
      <c r="S959" s="92"/>
      <c r="AD959" s="93"/>
      <c r="AE959" s="93"/>
    </row>
    <row r="960" ht="13.5" customHeight="1">
      <c r="A960" s="90"/>
      <c r="H960" s="91"/>
      <c r="I960" s="91"/>
      <c r="J960" s="91"/>
      <c r="S960" s="92"/>
      <c r="AD960" s="93"/>
      <c r="AE960" s="93"/>
    </row>
    <row r="961" ht="13.5" customHeight="1">
      <c r="A961" s="90"/>
      <c r="H961" s="91"/>
      <c r="I961" s="91"/>
      <c r="J961" s="91"/>
      <c r="S961" s="92"/>
      <c r="AD961" s="93"/>
      <c r="AE961" s="93"/>
    </row>
    <row r="962" ht="13.5" customHeight="1">
      <c r="A962" s="90"/>
      <c r="H962" s="91"/>
      <c r="I962" s="91"/>
      <c r="J962" s="91"/>
      <c r="S962" s="92"/>
      <c r="AD962" s="93"/>
      <c r="AE962" s="93"/>
    </row>
    <row r="963" ht="13.5" customHeight="1">
      <c r="A963" s="90"/>
      <c r="H963" s="91"/>
      <c r="I963" s="91"/>
      <c r="J963" s="91"/>
      <c r="S963" s="92"/>
      <c r="AD963" s="93"/>
      <c r="AE963" s="93"/>
    </row>
    <row r="964" ht="13.5" customHeight="1">
      <c r="A964" s="90"/>
      <c r="H964" s="91"/>
      <c r="I964" s="91"/>
      <c r="J964" s="91"/>
      <c r="S964" s="92"/>
      <c r="AD964" s="93"/>
      <c r="AE964" s="93"/>
    </row>
    <row r="965" ht="13.5" customHeight="1">
      <c r="A965" s="90"/>
      <c r="H965" s="91"/>
      <c r="I965" s="91"/>
      <c r="J965" s="91"/>
      <c r="S965" s="92"/>
      <c r="AD965" s="93"/>
      <c r="AE965" s="93"/>
    </row>
    <row r="966" ht="13.5" customHeight="1">
      <c r="A966" s="90"/>
      <c r="H966" s="91"/>
      <c r="I966" s="91"/>
      <c r="J966" s="91"/>
      <c r="S966" s="92"/>
      <c r="AD966" s="93"/>
      <c r="AE966" s="93"/>
    </row>
    <row r="967" ht="13.5" customHeight="1">
      <c r="A967" s="90"/>
      <c r="H967" s="91"/>
      <c r="I967" s="91"/>
      <c r="J967" s="91"/>
      <c r="S967" s="92"/>
      <c r="AD967" s="93"/>
      <c r="AE967" s="93"/>
    </row>
    <row r="968" ht="13.5" customHeight="1">
      <c r="A968" s="90"/>
      <c r="H968" s="91"/>
      <c r="I968" s="91"/>
      <c r="J968" s="91"/>
      <c r="S968" s="92"/>
      <c r="AD968" s="93"/>
      <c r="AE968" s="93"/>
    </row>
    <row r="969" ht="13.5" customHeight="1">
      <c r="A969" s="90"/>
      <c r="H969" s="91"/>
      <c r="I969" s="91"/>
      <c r="J969" s="91"/>
      <c r="S969" s="92"/>
      <c r="AD969" s="93"/>
      <c r="AE969" s="93"/>
    </row>
    <row r="970" ht="13.5" customHeight="1">
      <c r="A970" s="90"/>
      <c r="H970" s="91"/>
      <c r="I970" s="91"/>
      <c r="J970" s="91"/>
      <c r="S970" s="92"/>
      <c r="AD970" s="93"/>
      <c r="AE970" s="93"/>
    </row>
    <row r="971" ht="13.5" customHeight="1">
      <c r="A971" s="90"/>
      <c r="H971" s="91"/>
      <c r="I971" s="91"/>
      <c r="J971" s="91"/>
      <c r="S971" s="92"/>
      <c r="AD971" s="93"/>
      <c r="AE971" s="93"/>
    </row>
    <row r="972" ht="13.5" customHeight="1">
      <c r="A972" s="90"/>
      <c r="H972" s="91"/>
      <c r="I972" s="91"/>
      <c r="J972" s="91"/>
      <c r="S972" s="92"/>
      <c r="AD972" s="93"/>
      <c r="AE972" s="93"/>
    </row>
    <row r="973" ht="13.5" customHeight="1">
      <c r="A973" s="90"/>
      <c r="H973" s="91"/>
      <c r="I973" s="91"/>
      <c r="J973" s="91"/>
      <c r="S973" s="92"/>
      <c r="AD973" s="93"/>
      <c r="AE973" s="93"/>
    </row>
    <row r="974" ht="13.5" customHeight="1">
      <c r="A974" s="90"/>
      <c r="H974" s="91"/>
      <c r="I974" s="91"/>
      <c r="J974" s="91"/>
      <c r="S974" s="92"/>
      <c r="AD974" s="93"/>
      <c r="AE974" s="93"/>
    </row>
    <row r="975" ht="13.5" customHeight="1">
      <c r="A975" s="90"/>
      <c r="H975" s="91"/>
      <c r="I975" s="91"/>
      <c r="J975" s="91"/>
      <c r="S975" s="92"/>
      <c r="AD975" s="93"/>
      <c r="AE975" s="93"/>
    </row>
    <row r="976" ht="13.5" customHeight="1">
      <c r="A976" s="90"/>
      <c r="H976" s="91"/>
      <c r="I976" s="91"/>
      <c r="J976" s="91"/>
      <c r="S976" s="92"/>
      <c r="AD976" s="93"/>
      <c r="AE976" s="93"/>
    </row>
    <row r="977" ht="13.5" customHeight="1">
      <c r="A977" s="90"/>
      <c r="H977" s="91"/>
      <c r="I977" s="91"/>
      <c r="J977" s="91"/>
      <c r="S977" s="92"/>
      <c r="AD977" s="93"/>
      <c r="AE977" s="93"/>
    </row>
    <row r="978" ht="13.5" customHeight="1">
      <c r="A978" s="90"/>
      <c r="H978" s="91"/>
      <c r="I978" s="91"/>
      <c r="J978" s="91"/>
      <c r="S978" s="92"/>
      <c r="AD978" s="93"/>
      <c r="AE978" s="93"/>
    </row>
    <row r="979" ht="13.5" customHeight="1">
      <c r="A979" s="90"/>
      <c r="H979" s="91"/>
      <c r="I979" s="91"/>
      <c r="J979" s="91"/>
      <c r="S979" s="92"/>
      <c r="AD979" s="93"/>
      <c r="AE979" s="93"/>
    </row>
    <row r="980" ht="13.5" customHeight="1">
      <c r="A980" s="90"/>
      <c r="H980" s="91"/>
      <c r="I980" s="91"/>
      <c r="J980" s="91"/>
      <c r="S980" s="92"/>
      <c r="AD980" s="93"/>
      <c r="AE980" s="93"/>
    </row>
    <row r="981" ht="13.5" customHeight="1">
      <c r="A981" s="90"/>
      <c r="H981" s="91"/>
      <c r="I981" s="91"/>
      <c r="J981" s="91"/>
      <c r="S981" s="92"/>
      <c r="AD981" s="93"/>
      <c r="AE981" s="93"/>
    </row>
    <row r="982" ht="13.5" customHeight="1">
      <c r="A982" s="90"/>
      <c r="H982" s="91"/>
      <c r="I982" s="91"/>
      <c r="J982" s="91"/>
      <c r="S982" s="92"/>
      <c r="AD982" s="93"/>
      <c r="AE982" s="93"/>
    </row>
    <row r="983" ht="13.5" customHeight="1">
      <c r="A983" s="90"/>
      <c r="H983" s="91"/>
      <c r="I983" s="91"/>
      <c r="J983" s="91"/>
      <c r="S983" s="92"/>
      <c r="AD983" s="93"/>
      <c r="AE983" s="93"/>
    </row>
    <row r="984" ht="13.5" customHeight="1">
      <c r="A984" s="90"/>
      <c r="H984" s="91"/>
      <c r="I984" s="91"/>
      <c r="J984" s="91"/>
      <c r="S984" s="92"/>
      <c r="AD984" s="93"/>
      <c r="AE984" s="93"/>
    </row>
    <row r="985" ht="13.5" customHeight="1">
      <c r="A985" s="90"/>
      <c r="H985" s="91"/>
      <c r="I985" s="91"/>
      <c r="J985" s="91"/>
      <c r="S985" s="92"/>
      <c r="AD985" s="93"/>
      <c r="AE985" s="93"/>
    </row>
    <row r="986" ht="13.5" customHeight="1">
      <c r="A986" s="90"/>
      <c r="H986" s="91"/>
      <c r="I986" s="91"/>
      <c r="J986" s="91"/>
      <c r="S986" s="92"/>
      <c r="AD986" s="93"/>
      <c r="AE986" s="93"/>
    </row>
    <row r="987" ht="13.5" customHeight="1">
      <c r="A987" s="90"/>
      <c r="H987" s="91"/>
      <c r="I987" s="91"/>
      <c r="J987" s="91"/>
      <c r="S987" s="92"/>
      <c r="AD987" s="93"/>
      <c r="AE987" s="93"/>
    </row>
    <row r="988" ht="13.5" customHeight="1">
      <c r="A988" s="90"/>
      <c r="H988" s="91"/>
      <c r="I988" s="91"/>
      <c r="J988" s="91"/>
      <c r="S988" s="92"/>
      <c r="AD988" s="93"/>
      <c r="AE988" s="93"/>
    </row>
    <row r="989" ht="13.5" customHeight="1">
      <c r="A989" s="90"/>
      <c r="H989" s="91"/>
      <c r="I989" s="91"/>
      <c r="J989" s="91"/>
      <c r="S989" s="92"/>
      <c r="AD989" s="93"/>
      <c r="AE989" s="93"/>
    </row>
    <row r="990" ht="13.5" customHeight="1">
      <c r="A990" s="90"/>
      <c r="H990" s="91"/>
      <c r="I990" s="91"/>
      <c r="J990" s="91"/>
      <c r="S990" s="92"/>
      <c r="AD990" s="93"/>
      <c r="AE990" s="93"/>
    </row>
    <row r="991" ht="13.5" customHeight="1">
      <c r="A991" s="90"/>
      <c r="H991" s="91"/>
      <c r="I991" s="91"/>
      <c r="J991" s="91"/>
      <c r="S991" s="92"/>
      <c r="AD991" s="93"/>
      <c r="AE991" s="93"/>
    </row>
    <row r="992" ht="13.5" customHeight="1">
      <c r="A992" s="90"/>
      <c r="H992" s="91"/>
      <c r="I992" s="91"/>
      <c r="J992" s="91"/>
      <c r="S992" s="92"/>
      <c r="AD992" s="93"/>
      <c r="AE992" s="93"/>
    </row>
    <row r="993" ht="13.5" customHeight="1">
      <c r="A993" s="90"/>
      <c r="H993" s="91"/>
      <c r="I993" s="91"/>
      <c r="J993" s="91"/>
      <c r="S993" s="92"/>
      <c r="AD993" s="93"/>
      <c r="AE993" s="93"/>
    </row>
    <row r="994" ht="13.5" customHeight="1">
      <c r="A994" s="90"/>
      <c r="H994" s="91"/>
      <c r="I994" s="91"/>
      <c r="J994" s="91"/>
      <c r="S994" s="92"/>
      <c r="AD994" s="93"/>
      <c r="AE994" s="93"/>
    </row>
    <row r="995" ht="13.5" customHeight="1">
      <c r="A995" s="90"/>
      <c r="H995" s="91"/>
      <c r="I995" s="91"/>
      <c r="J995" s="91"/>
      <c r="S995" s="92"/>
      <c r="AD995" s="93"/>
      <c r="AE995" s="93"/>
    </row>
    <row r="996" ht="13.5" customHeight="1">
      <c r="A996" s="90"/>
      <c r="H996" s="91"/>
      <c r="I996" s="91"/>
      <c r="J996" s="91"/>
      <c r="S996" s="92"/>
      <c r="AD996" s="93"/>
      <c r="AE996" s="93"/>
    </row>
    <row r="997" ht="13.5" customHeight="1">
      <c r="A997" s="90"/>
      <c r="H997" s="91"/>
      <c r="I997" s="91"/>
      <c r="J997" s="91"/>
      <c r="S997" s="92"/>
      <c r="AD997" s="93"/>
      <c r="AE997" s="93"/>
    </row>
    <row r="998" ht="13.5" customHeight="1">
      <c r="A998" s="90"/>
      <c r="H998" s="91"/>
      <c r="I998" s="91"/>
      <c r="J998" s="91"/>
      <c r="S998" s="92"/>
      <c r="AD998" s="93"/>
      <c r="AE998" s="93"/>
    </row>
    <row r="999" ht="13.5" customHeight="1">
      <c r="A999" s="90"/>
      <c r="H999" s="91"/>
      <c r="I999" s="91"/>
      <c r="J999" s="91"/>
      <c r="S999" s="92"/>
      <c r="AD999" s="93"/>
      <c r="AE999" s="93"/>
    </row>
    <row r="1000" ht="13.5" customHeight="1">
      <c r="A1000" s="90"/>
      <c r="H1000" s="91"/>
      <c r="I1000" s="91"/>
      <c r="J1000" s="91"/>
      <c r="S1000" s="92"/>
      <c r="AD1000" s="93"/>
      <c r="AE1000" s="93"/>
    </row>
    <row r="1001" ht="13.5" customHeight="1">
      <c r="A1001" s="90"/>
      <c r="H1001" s="91"/>
      <c r="I1001" s="91"/>
      <c r="J1001" s="91"/>
      <c r="S1001" s="92"/>
      <c r="AD1001" s="93"/>
      <c r="AE1001" s="93"/>
    </row>
  </sheetData>
  <mergeCells count="32">
    <mergeCell ref="V2:V3"/>
    <mergeCell ref="Z2:AA3"/>
    <mergeCell ref="AD2:AD3"/>
    <mergeCell ref="AI2:AJ3"/>
    <mergeCell ref="AN2:AN3"/>
    <mergeCell ref="B2:B3"/>
    <mergeCell ref="C2:C3"/>
    <mergeCell ref="E2:F3"/>
    <mergeCell ref="G2:G3"/>
    <mergeCell ref="J2:K3"/>
    <mergeCell ref="N2:N3"/>
    <mergeCell ref="R2:S3"/>
    <mergeCell ref="N5:N6"/>
    <mergeCell ref="R5:S6"/>
    <mergeCell ref="V5:V6"/>
    <mergeCell ref="Z5:AA6"/>
    <mergeCell ref="AD5:AD6"/>
    <mergeCell ref="AI5:AJ6"/>
    <mergeCell ref="AN5:AN6"/>
    <mergeCell ref="C5:C6"/>
    <mergeCell ref="C8:C9"/>
    <mergeCell ref="D8:D9"/>
    <mergeCell ref="E8:M8"/>
    <mergeCell ref="N8:Z8"/>
    <mergeCell ref="AB8:AP8"/>
    <mergeCell ref="B5:B6"/>
    <mergeCell ref="E5:F6"/>
    <mergeCell ref="G5:G6"/>
    <mergeCell ref="H5:H6"/>
    <mergeCell ref="I5:I6"/>
    <mergeCell ref="J5:K6"/>
    <mergeCell ref="A8:A9"/>
  </mergeCells>
  <conditionalFormatting sqref="AB10:AB33 AB37:AC37">
    <cfRule type="cellIs" dxfId="6" priority="1" operator="greaterThan">
      <formula>0</formula>
    </cfRule>
  </conditionalFormatting>
  <conditionalFormatting sqref="AB10:AB33 AB37:AC37">
    <cfRule type="cellIs" dxfId="7" priority="2" operator="lessThan">
      <formula>0</formula>
    </cfRule>
  </conditionalFormatting>
  <conditionalFormatting sqref="AD10:AE33 AD37:AE37">
    <cfRule type="cellIs" dxfId="6" priority="3" operator="greaterThan">
      <formula>0</formula>
    </cfRule>
  </conditionalFormatting>
  <conditionalFormatting sqref="AD10:AE33 AD37:AE37">
    <cfRule type="cellIs" dxfId="7" priority="4" operator="lessThan">
      <formula>0</formula>
    </cfRule>
  </conditionalFormatting>
  <conditionalFormatting sqref="O10:O33">
    <cfRule type="colorScale" priority="5">
      <colorScale>
        <cfvo type="min"/>
        <cfvo type="percentile" val="50"/>
        <cfvo type="max"/>
        <color rgb="FFE67C73"/>
        <color rgb="FFD9E2F3"/>
        <color rgb="FF57BB8A"/>
      </colorScale>
    </cfRule>
  </conditionalFormatting>
  <conditionalFormatting sqref="N10:N33">
    <cfRule type="colorScale" priority="6">
      <colorScale>
        <cfvo type="min"/>
        <cfvo type="percentile" val="50"/>
        <cfvo type="max"/>
        <color rgb="FFE67C73"/>
        <color rgb="FFD9E2F3"/>
        <color rgb="FF57BB8A"/>
      </colorScale>
    </cfRule>
  </conditionalFormatting>
  <conditionalFormatting sqref="V10:V33">
    <cfRule type="colorScale" priority="7">
      <colorScale>
        <cfvo type="min"/>
        <cfvo type="percentile" val="50"/>
        <cfvo type="max"/>
        <color rgb="FFE67C73"/>
        <color rgb="FFD9E2F3"/>
        <color rgb="FF57BB8A"/>
      </colorScale>
    </cfRule>
  </conditionalFormatting>
  <conditionalFormatting sqref="W10:W33">
    <cfRule type="colorScale" priority="8">
      <colorScale>
        <cfvo type="min"/>
        <cfvo type="percentile" val="50"/>
        <cfvo type="max"/>
        <color rgb="FFE67C73"/>
        <color rgb="FFD9E2F3"/>
        <color rgb="FF57BB8A"/>
      </colorScale>
    </cfRule>
  </conditionalFormatting>
  <conditionalFormatting sqref="X10:X33">
    <cfRule type="colorScale" priority="9">
      <colorScale>
        <cfvo type="min"/>
        <cfvo type="percentile" val="50"/>
        <cfvo type="max"/>
        <color rgb="FFE67C73"/>
        <color rgb="FFD9E2F3"/>
        <color rgb="FF57BB8A"/>
      </colorScale>
    </cfRule>
  </conditionalFormatting>
  <conditionalFormatting sqref="Y10:Y33">
    <cfRule type="colorScale" priority="10">
      <colorScale>
        <cfvo type="min"/>
        <cfvo type="percentile" val="50"/>
        <cfvo type="max"/>
        <color rgb="FFE67C73"/>
        <color rgb="FFD9E2F3"/>
        <color rgb="FF57BB8A"/>
      </colorScale>
    </cfRule>
  </conditionalFormatting>
  <conditionalFormatting sqref="Z10:Z33">
    <cfRule type="colorScale" priority="11">
      <colorScale>
        <cfvo type="min"/>
        <cfvo type="percentile" val="50"/>
        <cfvo type="max"/>
        <color rgb="FFE67C73"/>
        <color rgb="FFD9E2F3"/>
        <color rgb="FF57BB8A"/>
      </colorScale>
    </cfRule>
  </conditionalFormatting>
  <conditionalFormatting sqref="AA10:AA33">
    <cfRule type="colorScale" priority="12">
      <colorScale>
        <cfvo type="min"/>
        <cfvo type="percentile" val="50"/>
        <cfvo type="max"/>
        <color rgb="FFE67C73"/>
        <color rgb="FFD9E2F3"/>
        <color rgb="FF57BB8A"/>
      </colorScale>
    </cfRule>
  </conditionalFormatting>
  <conditionalFormatting sqref="AF10:AF33">
    <cfRule type="colorScale" priority="13">
      <colorScale>
        <cfvo type="min"/>
        <cfvo type="percentile" val="50"/>
        <cfvo type="max"/>
        <color rgb="FFE67C73"/>
        <color rgb="FFD9E2F3"/>
        <color rgb="FF57BB8A"/>
      </colorScale>
    </cfRule>
  </conditionalFormatting>
  <conditionalFormatting sqref="AC10:AC33 AG10:AG33 AG37:AH37">
    <cfRule type="colorScale" priority="14">
      <colorScale>
        <cfvo type="min"/>
        <cfvo type="percentile" val="50"/>
        <cfvo type="max"/>
        <color rgb="FFE67C73"/>
        <color rgb="FFD9E2F3"/>
        <color rgb="FF57BB8A"/>
      </colorScale>
    </cfRule>
  </conditionalFormatting>
  <conditionalFormatting sqref="AI10:AK33">
    <cfRule type="colorScale" priority="15">
      <colorScale>
        <cfvo type="min"/>
        <cfvo type="percentile" val="50"/>
        <cfvo type="max"/>
        <color rgb="FFE67C73"/>
        <color rgb="FFD9E2F3"/>
        <color rgb="FF57BB8A"/>
      </colorScale>
    </cfRule>
  </conditionalFormatting>
  <conditionalFormatting sqref="H10:I33 H37:I37">
    <cfRule type="containsText" dxfId="8" priority="16" operator="containsText" text="-">
      <formula>NOT(ISERROR(SEARCH(("-"),(H10))))</formula>
    </cfRule>
  </conditionalFormatting>
  <conditionalFormatting sqref="G2:G3">
    <cfRule type="cellIs" dxfId="9" priority="17" operator="lessThan">
      <formula>0</formula>
    </cfRule>
  </conditionalFormatting>
  <hyperlinks>
    <hyperlink r:id="rId1" ref="B10"/>
    <hyperlink r:id="rId2" ref="B14"/>
    <hyperlink r:id="rId3" ref="B17"/>
    <hyperlink r:id="rId4" ref="B28"/>
    <hyperlink r:id="rId5" ref="B30"/>
    <hyperlink r:id="rId6" ref="B33"/>
  </hyperlinks>
  <printOptions/>
  <pageMargins bottom="0.75" footer="0.0" header="0.0" left="0.7" right="0.7" top="0.75"/>
  <pageSetup orientation="landscape"/>
  <drawing r:id="rId7"/>
  <tableParts count="2"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10.43"/>
    <col customWidth="1" min="3" max="3" width="10.29"/>
    <col customWidth="1" min="4" max="4" width="12.57"/>
    <col customWidth="1" min="5" max="9" width="10.71"/>
    <col customWidth="1" min="10" max="10" width="9.57"/>
    <col customWidth="1" min="11" max="11" width="16.0"/>
    <col customWidth="1" min="12" max="12" width="18.0"/>
    <col customWidth="1" min="13" max="13" width="8.57"/>
    <col customWidth="1" min="14" max="14" width="11.86"/>
    <col customWidth="1" min="15" max="15" width="10.71"/>
    <col customWidth="1" min="16" max="16" width="9.29"/>
    <col customWidth="1" min="17" max="17" width="13.43"/>
    <col customWidth="1" min="18" max="18" width="13.29"/>
    <col customWidth="1" min="19" max="19" width="10.43"/>
    <col customWidth="1" min="20" max="20" width="11.57"/>
    <col customWidth="1" min="21" max="21" width="9.57"/>
    <col customWidth="1" min="22" max="22" width="9.14"/>
    <col customWidth="1" min="23" max="23" width="9.57"/>
    <col customWidth="1" min="24" max="24" width="9.14"/>
    <col customWidth="1" min="25" max="25" width="10.14"/>
    <col customWidth="1" min="26" max="35" width="10.71"/>
  </cols>
  <sheetData>
    <row r="1" ht="13.5" customHeight="1">
      <c r="A1" s="94" t="s">
        <v>13</v>
      </c>
      <c r="B1" s="95" t="s">
        <v>104</v>
      </c>
      <c r="C1" s="96" t="s">
        <v>105</v>
      </c>
      <c r="D1" s="97" t="s">
        <v>106</v>
      </c>
      <c r="E1" s="98" t="s">
        <v>107</v>
      </c>
      <c r="F1" s="97"/>
      <c r="G1" s="99" t="s">
        <v>108</v>
      </c>
      <c r="H1" s="98" t="s">
        <v>109</v>
      </c>
      <c r="I1" s="94"/>
      <c r="J1" s="94"/>
      <c r="K1" s="94"/>
      <c r="L1" s="94"/>
      <c r="M1" s="94"/>
      <c r="N1" s="100"/>
      <c r="O1" s="101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</row>
    <row r="2" ht="13.5" customHeight="1">
      <c r="A2" s="102" t="s">
        <v>103</v>
      </c>
      <c r="B2" s="103">
        <v>45.0</v>
      </c>
      <c r="C2" s="104">
        <v>21.64</v>
      </c>
      <c r="D2" s="105">
        <f t="shared" ref="D2:D62" si="1">B2*C2</f>
        <v>973.8</v>
      </c>
      <c r="E2" s="106">
        <v>44995.0</v>
      </c>
      <c r="F2" s="107" t="str">
        <f t="shared" ref="F2:F62" si="2">IF(IF(ROUNDUP(MONTH(E2)/3,0)-1=0,4,ROUNDUP(MONTH(E2)/3,0)-1)=4,YEAR(E2)-1,YEAR(E2)) &amp; " Q" &amp; IF(ROUNDUP(MONTH(E2)/3,0)-1=0,4,ROUNDUP(MONTH(E2)/3,0)-1)</f>
        <v>2022 Q4</v>
      </c>
      <c r="G2" s="105">
        <f t="shared" ref="G2:G19" si="3">IF(B2&gt;0,D2*1.0031,0)</f>
        <v>976.81878</v>
      </c>
      <c r="H2" s="107"/>
      <c r="I2" s="107"/>
      <c r="J2" s="107"/>
      <c r="K2" s="108"/>
      <c r="L2" s="109"/>
      <c r="M2" s="109"/>
      <c r="N2" s="110"/>
      <c r="O2" s="111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</row>
    <row r="3" ht="13.5" customHeight="1">
      <c r="A3" s="102" t="s">
        <v>63</v>
      </c>
      <c r="B3" s="103">
        <v>4.0</v>
      </c>
      <c r="C3" s="104">
        <v>12.22</v>
      </c>
      <c r="D3" s="105">
        <f t="shared" si="1"/>
        <v>48.88</v>
      </c>
      <c r="E3" s="106">
        <v>45010.0</v>
      </c>
      <c r="F3" s="107" t="str">
        <f t="shared" si="2"/>
        <v>2022 Q4</v>
      </c>
      <c r="G3" s="105">
        <f t="shared" si="3"/>
        <v>49.031528</v>
      </c>
      <c r="H3" s="107"/>
      <c r="I3" s="107"/>
      <c r="J3" s="107"/>
      <c r="K3" s="5" t="s">
        <v>0</v>
      </c>
      <c r="L3" s="6">
        <f>SUM(D:D)</f>
        <v>10945.31</v>
      </c>
      <c r="M3" s="109"/>
      <c r="N3" s="110"/>
      <c r="O3" s="111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</row>
    <row r="4" ht="13.5" customHeight="1">
      <c r="A4" s="102" t="s">
        <v>61</v>
      </c>
      <c r="B4" s="112">
        <v>22.0</v>
      </c>
      <c r="C4" s="105">
        <v>23.63</v>
      </c>
      <c r="D4" s="105">
        <f t="shared" si="1"/>
        <v>519.86</v>
      </c>
      <c r="E4" s="106">
        <v>45031.0</v>
      </c>
      <c r="F4" s="107" t="str">
        <f t="shared" si="2"/>
        <v>2023 Q1</v>
      </c>
      <c r="G4" s="105">
        <f t="shared" si="3"/>
        <v>521.471566</v>
      </c>
      <c r="H4" s="107"/>
      <c r="I4" s="107"/>
      <c r="J4" s="107"/>
      <c r="K4" s="15"/>
      <c r="L4" s="15"/>
      <c r="M4" s="109"/>
      <c r="N4" s="110"/>
      <c r="O4" s="111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</row>
    <row r="5" ht="13.5" customHeight="1">
      <c r="A5" s="102" t="s">
        <v>60</v>
      </c>
      <c r="B5" s="112">
        <v>10.0</v>
      </c>
      <c r="C5" s="105">
        <v>26.95</v>
      </c>
      <c r="D5" s="105">
        <f t="shared" si="1"/>
        <v>269.5</v>
      </c>
      <c r="E5" s="106">
        <v>45031.0</v>
      </c>
      <c r="F5" s="107" t="str">
        <f t="shared" si="2"/>
        <v>2023 Q1</v>
      </c>
      <c r="G5" s="105">
        <f t="shared" si="3"/>
        <v>270.33545</v>
      </c>
      <c r="H5" s="107"/>
      <c r="I5" s="107"/>
      <c r="J5" s="107"/>
      <c r="K5" s="107"/>
      <c r="L5" s="107"/>
      <c r="M5" s="107"/>
      <c r="N5" s="113"/>
      <c r="O5" s="114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</row>
    <row r="6">
      <c r="A6" s="102" t="s">
        <v>58</v>
      </c>
      <c r="B6" s="112">
        <v>1.0</v>
      </c>
      <c r="C6" s="105">
        <v>16.7</v>
      </c>
      <c r="D6" s="105">
        <f t="shared" si="1"/>
        <v>16.7</v>
      </c>
      <c r="E6" s="106">
        <v>45031.0</v>
      </c>
      <c r="F6" s="107" t="str">
        <f t="shared" si="2"/>
        <v>2023 Q1</v>
      </c>
      <c r="G6" s="105">
        <f t="shared" si="3"/>
        <v>16.75177</v>
      </c>
      <c r="J6" s="115" t="s">
        <v>110</v>
      </c>
      <c r="K6" s="115" t="s">
        <v>111</v>
      </c>
      <c r="L6" s="115" t="s">
        <v>13</v>
      </c>
      <c r="M6" s="115" t="s">
        <v>112</v>
      </c>
      <c r="N6" s="116" t="s">
        <v>113</v>
      </c>
      <c r="O6" s="117" t="s">
        <v>114</v>
      </c>
      <c r="P6" s="34" t="s">
        <v>21</v>
      </c>
      <c r="Q6" s="38" t="s">
        <v>32</v>
      </c>
      <c r="R6" s="118" t="s">
        <v>33</v>
      </c>
      <c r="S6" s="119" t="s">
        <v>115</v>
      </c>
      <c r="T6" s="120" t="s">
        <v>116</v>
      </c>
      <c r="U6" s="121" t="s">
        <v>117</v>
      </c>
      <c r="V6" s="122" t="s">
        <v>118</v>
      </c>
      <c r="W6" s="120" t="s">
        <v>119</v>
      </c>
      <c r="X6" s="122" t="s">
        <v>120</v>
      </c>
      <c r="Y6" s="122" t="s">
        <v>121</v>
      </c>
    </row>
    <row r="7" ht="13.5" customHeight="1">
      <c r="A7" s="103" t="s">
        <v>66</v>
      </c>
      <c r="B7" s="123">
        <v>4.0</v>
      </c>
      <c r="C7" s="104">
        <v>29.27</v>
      </c>
      <c r="D7" s="105">
        <f t="shared" si="1"/>
        <v>117.08</v>
      </c>
      <c r="E7" s="106">
        <v>45031.0</v>
      </c>
      <c r="F7" s="107" t="str">
        <f t="shared" si="2"/>
        <v>2023 Q1</v>
      </c>
      <c r="G7" s="105">
        <f t="shared" si="3"/>
        <v>117.442948</v>
      </c>
      <c r="J7" s="124"/>
      <c r="K7" s="125" t="s">
        <v>122</v>
      </c>
      <c r="L7" s="66" t="s">
        <v>62</v>
      </c>
      <c r="M7" s="49">
        <f t="shared" ref="M7:M30" si="6">IFERROR(J7/SUM(J$7:J$30),0)</f>
        <v>0</v>
      </c>
      <c r="N7" s="126">
        <f t="shared" ref="N7:N20" si="7">ROUNDDOWN(J7/P7,0)</f>
        <v>0</v>
      </c>
      <c r="O7" s="127">
        <f t="shared" ref="O7:O20" si="8">(J7/P7-N7)*P7</f>
        <v>0</v>
      </c>
      <c r="P7" s="128">
        <f>IFERROR(__xludf.DUMMYFUNCTION("GOOGLEFINANCE(K7,""price"")"),29.73)</f>
        <v>29.73</v>
      </c>
      <c r="Q7" s="58">
        <f t="shared" ref="Q7:Q30" si="9">IF(INDIRECT("'"&amp;K7&amp;"'!"&amp;"B10") ="",INDIRECT("'"&amp;K7&amp;"'!"&amp;"C10"),INDIRECT("'"&amp;K7&amp;"'!"&amp;"B10"))</f>
        <v>0.389133</v>
      </c>
      <c r="R7" s="58">
        <f t="shared" ref="R7:R30" si="10">IFERROR(AVERAGE(INDIRECT("'"&amp;K7&amp;"'!"&amp;"B10:F10")),0)</f>
        <v>0.6180646</v>
      </c>
      <c r="S7" s="129">
        <f t="shared" ref="S7:S30" si="11">N7*Q7</f>
        <v>0</v>
      </c>
      <c r="T7" s="129">
        <f t="shared" ref="T7:T30" si="12">N7*R7</f>
        <v>0</v>
      </c>
      <c r="U7" s="130">
        <f t="shared" ref="U7:V7" si="4">S7/3</f>
        <v>0</v>
      </c>
      <c r="V7" s="130">
        <f t="shared" si="4"/>
        <v>0</v>
      </c>
      <c r="W7" s="130">
        <f t="shared" ref="W7:X7" si="5">U7*12</f>
        <v>0</v>
      </c>
      <c r="X7" s="130">
        <f t="shared" si="5"/>
        <v>0</v>
      </c>
      <c r="Y7" s="131" t="str">
        <f t="shared" ref="Y7:Y30" si="15">IFERROR(X7/J7,"")</f>
        <v/>
      </c>
    </row>
    <row r="8" ht="13.5" customHeight="1">
      <c r="A8" s="103" t="s">
        <v>74</v>
      </c>
      <c r="B8" s="123">
        <v>5.0</v>
      </c>
      <c r="C8" s="104">
        <v>5.71</v>
      </c>
      <c r="D8" s="105">
        <f t="shared" si="1"/>
        <v>28.55</v>
      </c>
      <c r="E8" s="106">
        <v>45031.0</v>
      </c>
      <c r="F8" s="107" t="str">
        <f t="shared" si="2"/>
        <v>2023 Q1</v>
      </c>
      <c r="G8" s="105">
        <f t="shared" si="3"/>
        <v>28.638505</v>
      </c>
      <c r="J8" s="124"/>
      <c r="K8" s="125" t="s">
        <v>123</v>
      </c>
      <c r="L8" s="66" t="s">
        <v>63</v>
      </c>
      <c r="M8" s="49">
        <f t="shared" si="6"/>
        <v>0</v>
      </c>
      <c r="N8" s="126">
        <f t="shared" si="7"/>
        <v>0</v>
      </c>
      <c r="O8" s="127">
        <f t="shared" si="8"/>
        <v>0</v>
      </c>
      <c r="P8" s="128">
        <f>IFERROR(__xludf.DUMMYFUNCTION("GOOGLEFINANCE(K8,""price"")"),14.61)</f>
        <v>14.61</v>
      </c>
      <c r="Q8" s="58">
        <f t="shared" si="9"/>
        <v>0</v>
      </c>
      <c r="R8" s="58">
        <f t="shared" si="10"/>
        <v>0.2125466</v>
      </c>
      <c r="S8" s="129">
        <f t="shared" si="11"/>
        <v>0</v>
      </c>
      <c r="T8" s="129">
        <f t="shared" si="12"/>
        <v>0</v>
      </c>
      <c r="U8" s="130">
        <f t="shared" ref="U8:V8" si="13">S8/3</f>
        <v>0</v>
      </c>
      <c r="V8" s="130">
        <f t="shared" si="13"/>
        <v>0</v>
      </c>
      <c r="W8" s="130">
        <f t="shared" ref="W8:X8" si="14">U8*12</f>
        <v>0</v>
      </c>
      <c r="X8" s="130">
        <f t="shared" si="14"/>
        <v>0</v>
      </c>
      <c r="Y8" s="131" t="str">
        <f t="shared" si="15"/>
        <v/>
      </c>
    </row>
    <row r="9" ht="13.5" customHeight="1">
      <c r="A9" s="103" t="s">
        <v>63</v>
      </c>
      <c r="B9" s="123">
        <v>27.0</v>
      </c>
      <c r="C9" s="104">
        <v>12.22</v>
      </c>
      <c r="D9" s="105">
        <f t="shared" si="1"/>
        <v>329.94</v>
      </c>
      <c r="E9" s="106">
        <v>45031.0</v>
      </c>
      <c r="F9" s="107" t="str">
        <f t="shared" si="2"/>
        <v>2023 Q1</v>
      </c>
      <c r="G9" s="105">
        <f t="shared" si="3"/>
        <v>330.962814</v>
      </c>
      <c r="J9" s="124"/>
      <c r="K9" s="125" t="s">
        <v>124</v>
      </c>
      <c r="L9" s="66" t="s">
        <v>66</v>
      </c>
      <c r="M9" s="49">
        <f t="shared" si="6"/>
        <v>0</v>
      </c>
      <c r="N9" s="126">
        <f t="shared" si="7"/>
        <v>0</v>
      </c>
      <c r="O9" s="127">
        <f t="shared" si="8"/>
        <v>0</v>
      </c>
      <c r="P9" s="128">
        <f>IFERROR(__xludf.DUMMYFUNCTION("GOOGLEFINANCE(K9,""price"")"),43.51)</f>
        <v>43.51</v>
      </c>
      <c r="Q9" s="58">
        <f t="shared" si="9"/>
        <v>0.525</v>
      </c>
      <c r="R9" s="58">
        <f t="shared" si="10"/>
        <v>0.6807648</v>
      </c>
      <c r="S9" s="129">
        <f t="shared" si="11"/>
        <v>0</v>
      </c>
      <c r="T9" s="129">
        <f t="shared" si="12"/>
        <v>0</v>
      </c>
      <c r="U9" s="130">
        <f t="shared" ref="U9:V9" si="16">S9/3</f>
        <v>0</v>
      </c>
      <c r="V9" s="130">
        <f t="shared" si="16"/>
        <v>0</v>
      </c>
      <c r="W9" s="130">
        <f t="shared" ref="W9:X9" si="17">U9*12</f>
        <v>0</v>
      </c>
      <c r="X9" s="130">
        <f t="shared" si="17"/>
        <v>0</v>
      </c>
      <c r="Y9" s="131" t="str">
        <f t="shared" si="15"/>
        <v/>
      </c>
    </row>
    <row r="10" ht="13.5" customHeight="1">
      <c r="A10" s="103" t="s">
        <v>65</v>
      </c>
      <c r="B10" s="123">
        <v>3.0</v>
      </c>
      <c r="C10" s="104">
        <v>31.54</v>
      </c>
      <c r="D10" s="105">
        <f t="shared" si="1"/>
        <v>94.62</v>
      </c>
      <c r="E10" s="106">
        <v>45031.0</v>
      </c>
      <c r="F10" s="107" t="str">
        <f t="shared" si="2"/>
        <v>2023 Q1</v>
      </c>
      <c r="G10" s="105">
        <f t="shared" si="3"/>
        <v>94.913322</v>
      </c>
      <c r="J10" s="124"/>
      <c r="K10" s="125" t="s">
        <v>125</v>
      </c>
      <c r="L10" s="66" t="s">
        <v>61</v>
      </c>
      <c r="M10" s="49">
        <f t="shared" si="6"/>
        <v>0</v>
      </c>
      <c r="N10" s="126">
        <f t="shared" si="7"/>
        <v>0</v>
      </c>
      <c r="O10" s="127">
        <f t="shared" si="8"/>
        <v>0</v>
      </c>
      <c r="P10" s="128">
        <f>IFERROR(__xludf.DUMMYFUNCTION("GOOGLEFINANCE(K10,""price"")"),27.34)</f>
        <v>27.34</v>
      </c>
      <c r="Q10" s="58">
        <f t="shared" si="9"/>
        <v>0.6</v>
      </c>
      <c r="R10" s="58">
        <f t="shared" si="10"/>
        <v>0.6</v>
      </c>
      <c r="S10" s="129">
        <f t="shared" si="11"/>
        <v>0</v>
      </c>
      <c r="T10" s="129">
        <f t="shared" si="12"/>
        <v>0</v>
      </c>
      <c r="U10" s="130">
        <f t="shared" ref="U10:V10" si="18">S10/3</f>
        <v>0</v>
      </c>
      <c r="V10" s="130">
        <f t="shared" si="18"/>
        <v>0</v>
      </c>
      <c r="W10" s="130">
        <f t="shared" ref="W10:X10" si="19">U10*12</f>
        <v>0</v>
      </c>
      <c r="X10" s="130">
        <f t="shared" si="19"/>
        <v>0</v>
      </c>
      <c r="Y10" s="131" t="str">
        <f t="shared" si="15"/>
        <v/>
      </c>
    </row>
    <row r="11" ht="13.5" customHeight="1">
      <c r="A11" s="103" t="s">
        <v>76</v>
      </c>
      <c r="B11" s="123">
        <v>7.0</v>
      </c>
      <c r="C11" s="104">
        <v>6.79</v>
      </c>
      <c r="D11" s="105">
        <f t="shared" si="1"/>
        <v>47.53</v>
      </c>
      <c r="E11" s="106">
        <v>45032.0</v>
      </c>
      <c r="F11" s="107" t="str">
        <f t="shared" si="2"/>
        <v>2023 Q1</v>
      </c>
      <c r="G11" s="105">
        <f t="shared" si="3"/>
        <v>47.677343</v>
      </c>
      <c r="J11" s="124"/>
      <c r="K11" s="46" t="s">
        <v>67</v>
      </c>
      <c r="L11" s="69" t="s">
        <v>68</v>
      </c>
      <c r="M11" s="49">
        <f t="shared" si="6"/>
        <v>0</v>
      </c>
      <c r="N11" s="126">
        <f t="shared" si="7"/>
        <v>0</v>
      </c>
      <c r="O11" s="127">
        <f t="shared" si="8"/>
        <v>0</v>
      </c>
      <c r="P11" s="128">
        <f>IFERROR(__xludf.DUMMYFUNCTION("GOOGLEFINANCE(K11,""price"")"),38.8)</f>
        <v>38.8</v>
      </c>
      <c r="Q11" s="58">
        <f t="shared" si="9"/>
        <v>0</v>
      </c>
      <c r="R11" s="58">
        <f t="shared" si="10"/>
        <v>0</v>
      </c>
      <c r="S11" s="129">
        <f t="shared" si="11"/>
        <v>0</v>
      </c>
      <c r="T11" s="129">
        <f t="shared" si="12"/>
        <v>0</v>
      </c>
      <c r="U11" s="130">
        <f t="shared" ref="U11:V11" si="20">S11/3</f>
        <v>0</v>
      </c>
      <c r="V11" s="130">
        <f t="shared" si="20"/>
        <v>0</v>
      </c>
      <c r="W11" s="130">
        <f t="shared" ref="W11:X11" si="21">U11*12</f>
        <v>0</v>
      </c>
      <c r="X11" s="130">
        <f t="shared" si="21"/>
        <v>0</v>
      </c>
      <c r="Y11" s="131" t="str">
        <f t="shared" si="15"/>
        <v/>
      </c>
    </row>
    <row r="12" ht="13.5" customHeight="1">
      <c r="A12" s="103" t="s">
        <v>72</v>
      </c>
      <c r="B12" s="123">
        <v>3.0</v>
      </c>
      <c r="C12" s="104">
        <v>6.22</v>
      </c>
      <c r="D12" s="105">
        <f t="shared" si="1"/>
        <v>18.66</v>
      </c>
      <c r="E12" s="106">
        <v>45033.0</v>
      </c>
      <c r="F12" s="107" t="str">
        <f t="shared" si="2"/>
        <v>2023 Q1</v>
      </c>
      <c r="G12" s="105">
        <f t="shared" si="3"/>
        <v>18.717846</v>
      </c>
      <c r="J12" s="124"/>
      <c r="K12" s="46" t="s">
        <v>64</v>
      </c>
      <c r="L12" s="66" t="s">
        <v>65</v>
      </c>
      <c r="M12" s="49">
        <f t="shared" si="6"/>
        <v>0</v>
      </c>
      <c r="N12" s="126" t="str">
        <f t="shared" si="7"/>
        <v>#N/A</v>
      </c>
      <c r="O12" s="127" t="str">
        <f t="shared" si="8"/>
        <v>#N/A</v>
      </c>
      <c r="P12" s="128" t="str">
        <f>IFERROR(__xludf.DUMMYFUNCTION("GOOGLEFINANCE(K12,""price"")"),"#N/A")</f>
        <v>#N/A</v>
      </c>
      <c r="Q12" s="58">
        <f t="shared" si="9"/>
        <v>0.5797</v>
      </c>
      <c r="R12" s="58">
        <f t="shared" si="10"/>
        <v>0.4594304</v>
      </c>
      <c r="S12" s="129" t="str">
        <f t="shared" si="11"/>
        <v>#N/A</v>
      </c>
      <c r="T12" s="129" t="str">
        <f t="shared" si="12"/>
        <v>#N/A</v>
      </c>
      <c r="U12" s="130" t="str">
        <f t="shared" ref="U12:V12" si="22">S12/3</f>
        <v>#N/A</v>
      </c>
      <c r="V12" s="130" t="str">
        <f t="shared" si="22"/>
        <v>#N/A</v>
      </c>
      <c r="W12" s="130" t="str">
        <f t="shared" ref="W12:X12" si="23">U12*12</f>
        <v>#N/A</v>
      </c>
      <c r="X12" s="130" t="str">
        <f t="shared" si="23"/>
        <v>#N/A</v>
      </c>
      <c r="Y12" s="131" t="str">
        <f t="shared" si="15"/>
        <v/>
      </c>
    </row>
    <row r="13" ht="13.5" customHeight="1">
      <c r="A13" s="103" t="s">
        <v>62</v>
      </c>
      <c r="B13" s="123">
        <v>27.0</v>
      </c>
      <c r="C13" s="104">
        <v>24.7</v>
      </c>
      <c r="D13" s="105">
        <f t="shared" si="1"/>
        <v>666.9</v>
      </c>
      <c r="E13" s="106">
        <v>45034.0</v>
      </c>
      <c r="F13" s="107" t="str">
        <f t="shared" si="2"/>
        <v>2023 Q1</v>
      </c>
      <c r="G13" s="105">
        <f t="shared" si="3"/>
        <v>668.96739</v>
      </c>
      <c r="J13" s="124"/>
      <c r="K13" s="46" t="s">
        <v>75</v>
      </c>
      <c r="L13" s="66" t="s">
        <v>76</v>
      </c>
      <c r="M13" s="49">
        <f t="shared" si="6"/>
        <v>0</v>
      </c>
      <c r="N13" s="126">
        <f t="shared" si="7"/>
        <v>0</v>
      </c>
      <c r="O13" s="127">
        <f t="shared" si="8"/>
        <v>0</v>
      </c>
      <c r="P13" s="128">
        <f>IFERROR(__xludf.DUMMYFUNCTION("GOOGLEFINANCE(K13,""price"")"),5.02)</f>
        <v>5.02</v>
      </c>
      <c r="Q13" s="58">
        <f t="shared" si="9"/>
        <v>0.0868</v>
      </c>
      <c r="R13" s="58">
        <f t="shared" si="10"/>
        <v>0.01736</v>
      </c>
      <c r="S13" s="129">
        <f t="shared" si="11"/>
        <v>0</v>
      </c>
      <c r="T13" s="129">
        <f t="shared" si="12"/>
        <v>0</v>
      </c>
      <c r="U13" s="130">
        <f t="shared" ref="U13:V13" si="24">S13/3</f>
        <v>0</v>
      </c>
      <c r="V13" s="130">
        <f t="shared" si="24"/>
        <v>0</v>
      </c>
      <c r="W13" s="130">
        <f t="shared" ref="W13:X13" si="25">U13*12</f>
        <v>0</v>
      </c>
      <c r="X13" s="130">
        <f t="shared" si="25"/>
        <v>0</v>
      </c>
      <c r="Y13" s="131" t="str">
        <f t="shared" si="15"/>
        <v/>
      </c>
    </row>
    <row r="14" ht="13.5" customHeight="1">
      <c r="A14" s="103" t="s">
        <v>62</v>
      </c>
      <c r="B14" s="123">
        <v>7.0</v>
      </c>
      <c r="C14" s="104">
        <v>24.66</v>
      </c>
      <c r="D14" s="105">
        <f t="shared" si="1"/>
        <v>172.62</v>
      </c>
      <c r="E14" s="106">
        <v>45035.0</v>
      </c>
      <c r="F14" s="107" t="str">
        <f t="shared" si="2"/>
        <v>2023 Q1</v>
      </c>
      <c r="G14" s="105">
        <f t="shared" si="3"/>
        <v>173.155122</v>
      </c>
      <c r="J14" s="124"/>
      <c r="K14" s="46" t="s">
        <v>77</v>
      </c>
      <c r="L14" s="66" t="s">
        <v>78</v>
      </c>
      <c r="M14" s="49">
        <f t="shared" si="6"/>
        <v>0</v>
      </c>
      <c r="N14" s="126">
        <f t="shared" si="7"/>
        <v>0</v>
      </c>
      <c r="O14" s="127">
        <f t="shared" si="8"/>
        <v>0</v>
      </c>
      <c r="P14" s="128">
        <f>IFERROR(__xludf.DUMMYFUNCTION("GOOGLEFINANCE(K14,""price"")"),79.66)</f>
        <v>79.66</v>
      </c>
      <c r="Q14" s="58">
        <f t="shared" si="9"/>
        <v>0.85</v>
      </c>
      <c r="R14" s="58">
        <f t="shared" si="10"/>
        <v>0.644</v>
      </c>
      <c r="S14" s="129">
        <f t="shared" si="11"/>
        <v>0</v>
      </c>
      <c r="T14" s="129">
        <f t="shared" si="12"/>
        <v>0</v>
      </c>
      <c r="U14" s="130">
        <f t="shared" ref="U14:V14" si="26">S14/3</f>
        <v>0</v>
      </c>
      <c r="V14" s="130">
        <f t="shared" si="26"/>
        <v>0</v>
      </c>
      <c r="W14" s="130">
        <f t="shared" ref="W14:X14" si="27">U14*12</f>
        <v>0</v>
      </c>
      <c r="X14" s="130">
        <f t="shared" si="27"/>
        <v>0</v>
      </c>
      <c r="Y14" s="131" t="str">
        <f t="shared" si="15"/>
        <v/>
      </c>
    </row>
    <row r="15" ht="13.5" customHeight="1">
      <c r="A15" s="103" t="s">
        <v>76</v>
      </c>
      <c r="B15" s="123">
        <v>1.0</v>
      </c>
      <c r="C15" s="104">
        <v>6.18</v>
      </c>
      <c r="D15" s="105">
        <f t="shared" si="1"/>
        <v>6.18</v>
      </c>
      <c r="E15" s="106">
        <v>45036.0</v>
      </c>
      <c r="F15" s="107" t="str">
        <f t="shared" si="2"/>
        <v>2023 Q1</v>
      </c>
      <c r="G15" s="105">
        <f t="shared" si="3"/>
        <v>6.199158</v>
      </c>
      <c r="J15" s="124"/>
      <c r="K15" s="46" t="s">
        <v>79</v>
      </c>
      <c r="L15" s="66" t="s">
        <v>80</v>
      </c>
      <c r="M15" s="49">
        <f t="shared" si="6"/>
        <v>0</v>
      </c>
      <c r="N15" s="126" t="str">
        <f t="shared" si="7"/>
        <v>#N/A</v>
      </c>
      <c r="O15" s="127" t="str">
        <f t="shared" si="8"/>
        <v>#N/A</v>
      </c>
      <c r="P15" s="128" t="str">
        <f>IFERROR(__xludf.DUMMYFUNCTION("GOOGLEFINANCE(K15,""price"")"),"#N/A")</f>
        <v>#N/A</v>
      </c>
      <c r="Q15" s="58">
        <f t="shared" si="9"/>
        <v>0.47</v>
      </c>
      <c r="R15" s="58">
        <f t="shared" si="10"/>
        <v>0.472</v>
      </c>
      <c r="S15" s="129" t="str">
        <f t="shared" si="11"/>
        <v>#N/A</v>
      </c>
      <c r="T15" s="129" t="str">
        <f t="shared" si="12"/>
        <v>#N/A</v>
      </c>
      <c r="U15" s="130" t="str">
        <f t="shared" ref="U15:V15" si="28">S15/3</f>
        <v>#N/A</v>
      </c>
      <c r="V15" s="130" t="str">
        <f t="shared" si="28"/>
        <v>#N/A</v>
      </c>
      <c r="W15" s="130" t="str">
        <f t="shared" ref="W15:X15" si="29">U15*12</f>
        <v>#N/A</v>
      </c>
      <c r="X15" s="130" t="str">
        <f t="shared" si="29"/>
        <v>#N/A</v>
      </c>
      <c r="Y15" s="131" t="str">
        <f t="shared" si="15"/>
        <v/>
      </c>
    </row>
    <row r="16" ht="13.5" customHeight="1">
      <c r="A16" s="103" t="s">
        <v>63</v>
      </c>
      <c r="B16" s="123">
        <v>1.0</v>
      </c>
      <c r="C16" s="104">
        <v>12.14</v>
      </c>
      <c r="D16" s="105">
        <f t="shared" si="1"/>
        <v>12.14</v>
      </c>
      <c r="E16" s="106">
        <v>45048.0</v>
      </c>
      <c r="F16" s="107" t="str">
        <f t="shared" si="2"/>
        <v>2023 Q1</v>
      </c>
      <c r="G16" s="105">
        <f t="shared" si="3"/>
        <v>12.177634</v>
      </c>
      <c r="J16" s="124"/>
      <c r="K16" s="46" t="s">
        <v>81</v>
      </c>
      <c r="L16" s="66" t="s">
        <v>82</v>
      </c>
      <c r="M16" s="49">
        <f t="shared" si="6"/>
        <v>0</v>
      </c>
      <c r="N16" s="126">
        <f t="shared" si="7"/>
        <v>0</v>
      </c>
      <c r="O16" s="127">
        <f t="shared" si="8"/>
        <v>0</v>
      </c>
      <c r="P16" s="128">
        <f>IFERROR(__xludf.DUMMYFUNCTION("GOOGLEFINANCE(K16,""price"")"),7.8)</f>
        <v>7.8</v>
      </c>
      <c r="Q16" s="58">
        <f t="shared" si="9"/>
        <v>0.125</v>
      </c>
      <c r="R16" s="58">
        <f t="shared" si="10"/>
        <v>0.025</v>
      </c>
      <c r="S16" s="129">
        <f t="shared" si="11"/>
        <v>0</v>
      </c>
      <c r="T16" s="129">
        <f t="shared" si="12"/>
        <v>0</v>
      </c>
      <c r="U16" s="130">
        <f t="shared" ref="U16:V16" si="30">S16/3</f>
        <v>0</v>
      </c>
      <c r="V16" s="130">
        <f t="shared" si="30"/>
        <v>0</v>
      </c>
      <c r="W16" s="130">
        <f t="shared" ref="W16:X16" si="31">U16*12</f>
        <v>0</v>
      </c>
      <c r="X16" s="130">
        <f t="shared" si="31"/>
        <v>0</v>
      </c>
      <c r="Y16" s="131" t="str">
        <f t="shared" si="15"/>
        <v/>
      </c>
    </row>
    <row r="17" ht="13.5" customHeight="1">
      <c r="A17" s="103" t="s">
        <v>66</v>
      </c>
      <c r="B17" s="123">
        <v>4.0</v>
      </c>
      <c r="C17" s="104">
        <v>28.86</v>
      </c>
      <c r="D17" s="105">
        <f t="shared" si="1"/>
        <v>115.44</v>
      </c>
      <c r="E17" s="106">
        <v>45048.0</v>
      </c>
      <c r="F17" s="107" t="str">
        <f t="shared" si="2"/>
        <v>2023 Q1</v>
      </c>
      <c r="G17" s="105">
        <f t="shared" si="3"/>
        <v>115.797864</v>
      </c>
      <c r="J17" s="124"/>
      <c r="K17" s="46" t="s">
        <v>73</v>
      </c>
      <c r="L17" s="66" t="s">
        <v>74</v>
      </c>
      <c r="M17" s="49">
        <f t="shared" si="6"/>
        <v>0</v>
      </c>
      <c r="N17" s="126">
        <f t="shared" si="7"/>
        <v>0</v>
      </c>
      <c r="O17" s="127">
        <f t="shared" si="8"/>
        <v>0</v>
      </c>
      <c r="P17" s="128">
        <f>IFERROR(__xludf.DUMMYFUNCTION("GOOGLEFINANCE(K17,""price"")"),5.1)</f>
        <v>5.1</v>
      </c>
      <c r="Q17" s="58">
        <f t="shared" si="9"/>
        <v>0.04</v>
      </c>
      <c r="R17" s="58">
        <f t="shared" si="10"/>
        <v>0.025138</v>
      </c>
      <c r="S17" s="129">
        <f t="shared" si="11"/>
        <v>0</v>
      </c>
      <c r="T17" s="129">
        <f t="shared" si="12"/>
        <v>0</v>
      </c>
      <c r="U17" s="130">
        <f t="shared" ref="U17:V17" si="32">S17/3</f>
        <v>0</v>
      </c>
      <c r="V17" s="130">
        <f t="shared" si="32"/>
        <v>0</v>
      </c>
      <c r="W17" s="130">
        <f t="shared" ref="W17:X17" si="33">U17*12</f>
        <v>0</v>
      </c>
      <c r="X17" s="130">
        <f t="shared" si="33"/>
        <v>0</v>
      </c>
      <c r="Y17" s="131" t="str">
        <f t="shared" si="15"/>
        <v/>
      </c>
    </row>
    <row r="18" ht="13.5" customHeight="1">
      <c r="A18" s="103" t="s">
        <v>61</v>
      </c>
      <c r="B18" s="123">
        <v>13.0</v>
      </c>
      <c r="C18" s="104">
        <v>23.9</v>
      </c>
      <c r="D18" s="105">
        <f t="shared" si="1"/>
        <v>310.7</v>
      </c>
      <c r="E18" s="106">
        <v>45049.0</v>
      </c>
      <c r="F18" s="107" t="str">
        <f t="shared" si="2"/>
        <v>2023 Q1</v>
      </c>
      <c r="G18" s="105">
        <f t="shared" si="3"/>
        <v>311.66317</v>
      </c>
      <c r="J18" s="124"/>
      <c r="K18" s="46" t="s">
        <v>83</v>
      </c>
      <c r="L18" s="66" t="s">
        <v>84</v>
      </c>
      <c r="M18" s="49">
        <f t="shared" si="6"/>
        <v>0</v>
      </c>
      <c r="N18" s="126">
        <f t="shared" si="7"/>
        <v>0</v>
      </c>
      <c r="O18" s="127">
        <f t="shared" si="8"/>
        <v>0</v>
      </c>
      <c r="P18" s="128">
        <f>IFERROR(__xludf.DUMMYFUNCTION("GOOGLEFINANCE(K18,""price"")"),59.01)</f>
        <v>59.01</v>
      </c>
      <c r="Q18" s="58">
        <f t="shared" si="9"/>
        <v>0.5702</v>
      </c>
      <c r="R18" s="58">
        <f t="shared" si="10"/>
        <v>0.5706034</v>
      </c>
      <c r="S18" s="129">
        <f t="shared" si="11"/>
        <v>0</v>
      </c>
      <c r="T18" s="129">
        <f t="shared" si="12"/>
        <v>0</v>
      </c>
      <c r="U18" s="130">
        <f t="shared" ref="U18:V18" si="34">S18/3</f>
        <v>0</v>
      </c>
      <c r="V18" s="130">
        <f t="shared" si="34"/>
        <v>0</v>
      </c>
      <c r="W18" s="130">
        <f t="shared" ref="W18:X18" si="35">U18*12</f>
        <v>0</v>
      </c>
      <c r="X18" s="130">
        <f t="shared" si="35"/>
        <v>0</v>
      </c>
      <c r="Y18" s="131" t="str">
        <f t="shared" si="15"/>
        <v/>
      </c>
    </row>
    <row r="19" ht="13.5" customHeight="1">
      <c r="A19" s="103" t="s">
        <v>58</v>
      </c>
      <c r="B19" s="123">
        <v>17.0</v>
      </c>
      <c r="C19" s="104">
        <v>16.47</v>
      </c>
      <c r="D19" s="105">
        <f t="shared" si="1"/>
        <v>279.99</v>
      </c>
      <c r="E19" s="106">
        <v>45049.0</v>
      </c>
      <c r="F19" s="107" t="str">
        <f t="shared" si="2"/>
        <v>2023 Q1</v>
      </c>
      <c r="G19" s="105">
        <f t="shared" si="3"/>
        <v>280.857969</v>
      </c>
      <c r="J19" s="124"/>
      <c r="K19" s="46" t="s">
        <v>71</v>
      </c>
      <c r="L19" s="66" t="s">
        <v>72</v>
      </c>
      <c r="M19" s="49">
        <f t="shared" si="6"/>
        <v>0</v>
      </c>
      <c r="N19" s="126">
        <f t="shared" si="7"/>
        <v>0</v>
      </c>
      <c r="O19" s="127">
        <f t="shared" si="8"/>
        <v>0</v>
      </c>
      <c r="P19" s="128">
        <f>IFERROR(__xludf.DUMMYFUNCTION("GOOGLEFINANCE(K19,""price"")"),12.49)</f>
        <v>12.49</v>
      </c>
      <c r="Q19" s="58">
        <f t="shared" si="9"/>
        <v>0</v>
      </c>
      <c r="R19" s="58">
        <f t="shared" si="10"/>
        <v>0.0218618</v>
      </c>
      <c r="S19" s="129">
        <f t="shared" si="11"/>
        <v>0</v>
      </c>
      <c r="T19" s="129">
        <f t="shared" si="12"/>
        <v>0</v>
      </c>
      <c r="U19" s="130">
        <f t="shared" ref="U19:V19" si="36">S19/3</f>
        <v>0</v>
      </c>
      <c r="V19" s="130">
        <f t="shared" si="36"/>
        <v>0</v>
      </c>
      <c r="W19" s="130">
        <f t="shared" ref="W19:X19" si="37">U19*12</f>
        <v>0</v>
      </c>
      <c r="X19" s="130">
        <f t="shared" si="37"/>
        <v>0</v>
      </c>
      <c r="Y19" s="131" t="str">
        <f t="shared" si="15"/>
        <v/>
      </c>
    </row>
    <row r="20" ht="13.5" hidden="1" customHeight="1">
      <c r="A20" s="103" t="s">
        <v>103</v>
      </c>
      <c r="B20" s="123">
        <v>-44.0</v>
      </c>
      <c r="C20" s="104">
        <v>21.64</v>
      </c>
      <c r="D20" s="105">
        <f t="shared" si="1"/>
        <v>-952.16</v>
      </c>
      <c r="E20" s="106">
        <v>45049.0</v>
      </c>
      <c r="F20" s="107" t="str">
        <f t="shared" si="2"/>
        <v>2023 Q1</v>
      </c>
      <c r="G20" s="105">
        <f t="shared" ref="G20:G57" si="40">IF(B20&gt;0,D20*1.0031,(H20*B20)+I20)</f>
        <v>-955.01648</v>
      </c>
      <c r="H20" s="104">
        <v>21.0</v>
      </c>
      <c r="I20" s="104">
        <f>(H20-C20)*(B20*-1)+(D20*0.003)</f>
        <v>-31.01648</v>
      </c>
      <c r="J20" s="124"/>
      <c r="K20" s="46" t="s">
        <v>59</v>
      </c>
      <c r="L20" s="66" t="s">
        <v>60</v>
      </c>
      <c r="M20" s="49">
        <f t="shared" si="6"/>
        <v>0</v>
      </c>
      <c r="N20" s="126">
        <f t="shared" si="7"/>
        <v>0</v>
      </c>
      <c r="O20" s="127">
        <f t="shared" si="8"/>
        <v>0</v>
      </c>
      <c r="P20" s="128">
        <f>IFERROR(__xludf.DUMMYFUNCTION("GOOGLEFINANCE(K20,""price"")"),23.84)</f>
        <v>23.84</v>
      </c>
      <c r="Q20" s="58">
        <f t="shared" si="9"/>
        <v>0.575</v>
      </c>
      <c r="R20" s="58">
        <f t="shared" si="10"/>
        <v>0.7700312</v>
      </c>
      <c r="S20" s="129">
        <f t="shared" si="11"/>
        <v>0</v>
      </c>
      <c r="T20" s="129">
        <f t="shared" si="12"/>
        <v>0</v>
      </c>
      <c r="U20" s="130">
        <f t="shared" ref="U20:V20" si="38">S20/3</f>
        <v>0</v>
      </c>
      <c r="V20" s="130">
        <f t="shared" si="38"/>
        <v>0</v>
      </c>
      <c r="W20" s="130">
        <f t="shared" ref="W20:X20" si="39">U20*12</f>
        <v>0</v>
      </c>
      <c r="X20" s="130">
        <f t="shared" si="39"/>
        <v>0</v>
      </c>
      <c r="Y20" s="131" t="str">
        <f t="shared" si="15"/>
        <v/>
      </c>
    </row>
    <row r="21" ht="13.5" hidden="1" customHeight="1">
      <c r="A21" s="103" t="s">
        <v>60</v>
      </c>
      <c r="B21" s="123">
        <v>22.0</v>
      </c>
      <c r="C21" s="104">
        <v>27.2</v>
      </c>
      <c r="D21" s="105">
        <f t="shared" si="1"/>
        <v>598.4</v>
      </c>
      <c r="E21" s="106">
        <v>45049.0</v>
      </c>
      <c r="F21" s="107" t="str">
        <f t="shared" si="2"/>
        <v>2023 Q1</v>
      </c>
      <c r="G21" s="105">
        <f t="shared" si="40"/>
        <v>600.25504</v>
      </c>
      <c r="I21" s="104"/>
      <c r="J21" s="124"/>
      <c r="K21" s="46" t="s">
        <v>85</v>
      </c>
      <c r="L21" s="66" t="s">
        <v>86</v>
      </c>
      <c r="M21" s="49">
        <f t="shared" si="6"/>
        <v>0</v>
      </c>
      <c r="N21" s="126">
        <f>IFERROR(ROUNDDOWN(J21/P21,0),"")</f>
        <v>0</v>
      </c>
      <c r="O21" s="127">
        <f>IFERROR((J21/P21-N21)*P21,"")</f>
        <v>0</v>
      </c>
      <c r="P21" s="128">
        <f>IFERROR(__xludf.DUMMYFUNCTION("GOOGLEFINANCE(K21,""price"")"),50.0)</f>
        <v>50</v>
      </c>
      <c r="Q21" s="58">
        <f t="shared" si="9"/>
        <v>0</v>
      </c>
      <c r="R21" s="58">
        <f t="shared" si="10"/>
        <v>0.166</v>
      </c>
      <c r="S21" s="129">
        <f t="shared" si="11"/>
        <v>0</v>
      </c>
      <c r="T21" s="129">
        <f t="shared" si="12"/>
        <v>0</v>
      </c>
      <c r="U21" s="130">
        <f t="shared" ref="U21:V21" si="41">S21/3</f>
        <v>0</v>
      </c>
      <c r="V21" s="130">
        <f t="shared" si="41"/>
        <v>0</v>
      </c>
      <c r="W21" s="130">
        <f t="shared" ref="W21:X21" si="42">U21*12</f>
        <v>0</v>
      </c>
      <c r="X21" s="130">
        <f t="shared" si="42"/>
        <v>0</v>
      </c>
      <c r="Y21" s="131" t="str">
        <f t="shared" si="15"/>
        <v/>
      </c>
    </row>
    <row r="22" ht="13.5" hidden="1" customHeight="1">
      <c r="A22" s="103" t="s">
        <v>63</v>
      </c>
      <c r="B22" s="123">
        <v>1.0</v>
      </c>
      <c r="C22" s="104">
        <v>12.14</v>
      </c>
      <c r="D22" s="105">
        <f t="shared" si="1"/>
        <v>12.14</v>
      </c>
      <c r="E22" s="106">
        <v>45049.0</v>
      </c>
      <c r="F22" s="107" t="str">
        <f t="shared" si="2"/>
        <v>2023 Q1</v>
      </c>
      <c r="G22" s="105">
        <f t="shared" si="40"/>
        <v>12.177634</v>
      </c>
      <c r="I22" s="104"/>
      <c r="J22" s="124"/>
      <c r="K22" s="46" t="s">
        <v>87</v>
      </c>
      <c r="L22" s="66" t="s">
        <v>88</v>
      </c>
      <c r="M22" s="49">
        <f t="shared" si="6"/>
        <v>0</v>
      </c>
      <c r="N22" s="126">
        <f t="shared" ref="N22:N30" si="45">ROUNDDOWN(J22/P22,0)</f>
        <v>0</v>
      </c>
      <c r="O22" s="127">
        <f t="shared" ref="O22:O30" si="46">(J22/P22-N22)*P22</f>
        <v>0</v>
      </c>
      <c r="P22" s="128">
        <f>IFERROR(__xludf.DUMMYFUNCTION("GOOGLEFINANCE(K22,""price"")"),24.99)</f>
        <v>24.99</v>
      </c>
      <c r="Q22" s="58">
        <f t="shared" si="9"/>
        <v>0</v>
      </c>
      <c r="R22" s="58">
        <f t="shared" si="10"/>
        <v>0.0875</v>
      </c>
      <c r="S22" s="129">
        <f t="shared" si="11"/>
        <v>0</v>
      </c>
      <c r="T22" s="129">
        <f t="shared" si="12"/>
        <v>0</v>
      </c>
      <c r="U22" s="130">
        <f t="shared" ref="U22:V22" si="43">S22/3</f>
        <v>0</v>
      </c>
      <c r="V22" s="130">
        <f t="shared" si="43"/>
        <v>0</v>
      </c>
      <c r="W22" s="130">
        <f t="shared" ref="W22:X22" si="44">U22*12</f>
        <v>0</v>
      </c>
      <c r="X22" s="130">
        <f t="shared" si="44"/>
        <v>0</v>
      </c>
      <c r="Y22" s="131" t="str">
        <f t="shared" si="15"/>
        <v/>
      </c>
    </row>
    <row r="23" ht="13.5" hidden="1" customHeight="1">
      <c r="A23" s="103" t="s">
        <v>76</v>
      </c>
      <c r="B23" s="123">
        <v>-7.0</v>
      </c>
      <c r="C23" s="104">
        <v>6.49</v>
      </c>
      <c r="D23" s="105">
        <f t="shared" si="1"/>
        <v>-45.43</v>
      </c>
      <c r="E23" s="106">
        <v>45049.0</v>
      </c>
      <c r="F23" s="107" t="str">
        <f t="shared" si="2"/>
        <v>2023 Q1</v>
      </c>
      <c r="G23" s="105">
        <f t="shared" si="40"/>
        <v>-45.56629</v>
      </c>
      <c r="H23" s="104">
        <v>6.1</v>
      </c>
      <c r="I23" s="104">
        <f>(H23-C23)*(B23*-1)+(D23*0.003)</f>
        <v>-2.86629</v>
      </c>
      <c r="J23" s="124"/>
      <c r="K23" s="46" t="s">
        <v>89</v>
      </c>
      <c r="L23" s="69" t="s">
        <v>90</v>
      </c>
      <c r="M23" s="49">
        <f t="shared" si="6"/>
        <v>0</v>
      </c>
      <c r="N23" s="126">
        <f t="shared" si="45"/>
        <v>0</v>
      </c>
      <c r="O23" s="127">
        <f t="shared" si="46"/>
        <v>0</v>
      </c>
      <c r="P23" s="128">
        <f>IFERROR(__xludf.DUMMYFUNCTION("GOOGLEFINANCE(K23,""price"")"),26.0)</f>
        <v>26</v>
      </c>
      <c r="Q23" s="58">
        <f t="shared" si="9"/>
        <v>0.147633</v>
      </c>
      <c r="R23" s="58">
        <f t="shared" si="10"/>
        <v>0.181872</v>
      </c>
      <c r="S23" s="129">
        <f t="shared" si="11"/>
        <v>0</v>
      </c>
      <c r="T23" s="129">
        <f t="shared" si="12"/>
        <v>0</v>
      </c>
      <c r="U23" s="130">
        <f t="shared" ref="U23:V23" si="47">S23/3</f>
        <v>0</v>
      </c>
      <c r="V23" s="130">
        <f t="shared" si="47"/>
        <v>0</v>
      </c>
      <c r="W23" s="130">
        <f t="shared" ref="W23:X23" si="48">U23*12</f>
        <v>0</v>
      </c>
      <c r="X23" s="130">
        <f t="shared" si="48"/>
        <v>0</v>
      </c>
      <c r="Y23" s="131" t="str">
        <f t="shared" si="15"/>
        <v/>
      </c>
    </row>
    <row r="24" ht="13.5" customHeight="1">
      <c r="A24" s="103" t="s">
        <v>62</v>
      </c>
      <c r="B24" s="123">
        <v>1.0</v>
      </c>
      <c r="C24" s="104">
        <v>24.58</v>
      </c>
      <c r="D24" s="105">
        <f t="shared" si="1"/>
        <v>24.58</v>
      </c>
      <c r="E24" s="106">
        <v>45049.0</v>
      </c>
      <c r="F24" s="107" t="str">
        <f t="shared" si="2"/>
        <v>2023 Q1</v>
      </c>
      <c r="G24" s="105">
        <f t="shared" si="40"/>
        <v>24.656198</v>
      </c>
      <c r="H24" s="104"/>
      <c r="I24" s="104"/>
      <c r="J24" s="124"/>
      <c r="K24" s="46" t="s">
        <v>57</v>
      </c>
      <c r="L24" s="66" t="s">
        <v>58</v>
      </c>
      <c r="M24" s="49">
        <f t="shared" si="6"/>
        <v>0</v>
      </c>
      <c r="N24" s="126" t="str">
        <f t="shared" si="45"/>
        <v>#VALUE!</v>
      </c>
      <c r="O24" s="127" t="str">
        <f t="shared" si="46"/>
        <v>#VALUE!</v>
      </c>
      <c r="P24" s="132" t="str">
        <f>IFERROR(yahooF(K24&amp;".MX",1),L24)</f>
        <v>FIBRA HIPOTECARIA</v>
      </c>
      <c r="Q24" s="58">
        <f t="shared" si="9"/>
        <v>0.2566</v>
      </c>
      <c r="R24" s="58">
        <f t="shared" si="10"/>
        <v>0.5060862</v>
      </c>
      <c r="S24" s="129" t="str">
        <f t="shared" si="11"/>
        <v>#VALUE!</v>
      </c>
      <c r="T24" s="129" t="str">
        <f t="shared" si="12"/>
        <v>#VALUE!</v>
      </c>
      <c r="U24" s="130" t="str">
        <f t="shared" ref="U24:V24" si="49">S24/3</f>
        <v>#VALUE!</v>
      </c>
      <c r="V24" s="130" t="str">
        <f t="shared" si="49"/>
        <v>#VALUE!</v>
      </c>
      <c r="W24" s="130" t="str">
        <f t="shared" ref="W24:X24" si="50">U24*12</f>
        <v>#VALUE!</v>
      </c>
      <c r="X24" s="130" t="str">
        <f t="shared" si="50"/>
        <v>#VALUE!</v>
      </c>
      <c r="Y24" s="131" t="str">
        <f t="shared" si="15"/>
        <v/>
      </c>
    </row>
    <row r="25" ht="13.5" customHeight="1">
      <c r="A25" s="103" t="s">
        <v>74</v>
      </c>
      <c r="B25" s="123">
        <v>-1.0</v>
      </c>
      <c r="C25" s="104">
        <v>5.71</v>
      </c>
      <c r="D25" s="105">
        <f t="shared" si="1"/>
        <v>-5.71</v>
      </c>
      <c r="E25" s="106">
        <v>45049.0</v>
      </c>
      <c r="F25" s="107" t="str">
        <f t="shared" si="2"/>
        <v>2023 Q1</v>
      </c>
      <c r="G25" s="105">
        <f t="shared" si="40"/>
        <v>-5.72713</v>
      </c>
      <c r="H25" s="104">
        <v>5.6</v>
      </c>
      <c r="I25" s="104">
        <f>(H25-C25)*(B25*-1)+(D25*0.003)</f>
        <v>-0.12713</v>
      </c>
      <c r="J25" s="124"/>
      <c r="K25" s="46" t="s">
        <v>69</v>
      </c>
      <c r="L25" s="66" t="s">
        <v>70</v>
      </c>
      <c r="M25" s="49">
        <f t="shared" si="6"/>
        <v>0</v>
      </c>
      <c r="N25" s="126">
        <f t="shared" si="45"/>
        <v>0</v>
      </c>
      <c r="O25" s="127">
        <f t="shared" si="46"/>
        <v>0</v>
      </c>
      <c r="P25" s="128">
        <f>IFERROR(__xludf.DUMMYFUNCTION("GOOGLEFINANCE(K25,""price"")"),19.5)</f>
        <v>19.5</v>
      </c>
      <c r="Q25" s="58">
        <f t="shared" si="9"/>
        <v>0.480904</v>
      </c>
      <c r="R25" s="58">
        <f t="shared" si="10"/>
        <v>0.4712025</v>
      </c>
      <c r="S25" s="129">
        <f t="shared" si="11"/>
        <v>0</v>
      </c>
      <c r="T25" s="129">
        <f t="shared" si="12"/>
        <v>0</v>
      </c>
      <c r="U25" s="130">
        <f t="shared" ref="U25:V25" si="51">S25/3</f>
        <v>0</v>
      </c>
      <c r="V25" s="130">
        <f t="shared" si="51"/>
        <v>0</v>
      </c>
      <c r="W25" s="130">
        <f t="shared" ref="W25:X25" si="52">U25*12</f>
        <v>0</v>
      </c>
      <c r="X25" s="130">
        <f t="shared" si="52"/>
        <v>0</v>
      </c>
      <c r="Y25" s="131" t="str">
        <f t="shared" si="15"/>
        <v/>
      </c>
    </row>
    <row r="26" ht="13.5" customHeight="1">
      <c r="A26" s="103" t="s">
        <v>62</v>
      </c>
      <c r="B26" s="123">
        <v>1.0</v>
      </c>
      <c r="C26" s="104">
        <v>24.63</v>
      </c>
      <c r="D26" s="105">
        <f t="shared" si="1"/>
        <v>24.63</v>
      </c>
      <c r="E26" s="106">
        <v>45049.0</v>
      </c>
      <c r="F26" s="107" t="str">
        <f t="shared" si="2"/>
        <v>2023 Q1</v>
      </c>
      <c r="G26" s="105">
        <f t="shared" si="40"/>
        <v>24.706353</v>
      </c>
      <c r="H26" s="104"/>
      <c r="I26" s="104"/>
      <c r="J26" s="124"/>
      <c r="K26" s="46" t="s">
        <v>91</v>
      </c>
      <c r="L26" s="66" t="s">
        <v>92</v>
      </c>
      <c r="M26" s="49">
        <f t="shared" si="6"/>
        <v>0</v>
      </c>
      <c r="N26" s="126">
        <f t="shared" si="45"/>
        <v>0</v>
      </c>
      <c r="O26" s="127">
        <f t="shared" si="46"/>
        <v>0</v>
      </c>
      <c r="P26" s="128">
        <f>IFERROR(__xludf.DUMMYFUNCTION("GOOGLEFINANCE(K26,""price"")"),68.85)</f>
        <v>68.85</v>
      </c>
      <c r="Q26" s="58">
        <f t="shared" si="9"/>
        <v>1.4136</v>
      </c>
      <c r="R26" s="58">
        <f t="shared" si="10"/>
        <v>1.3759</v>
      </c>
      <c r="S26" s="129">
        <f t="shared" si="11"/>
        <v>0</v>
      </c>
      <c r="T26" s="129">
        <f t="shared" si="12"/>
        <v>0</v>
      </c>
      <c r="U26" s="130">
        <f t="shared" ref="U26:V26" si="53">S26/3</f>
        <v>0</v>
      </c>
      <c r="V26" s="130">
        <f t="shared" si="53"/>
        <v>0</v>
      </c>
      <c r="W26" s="130">
        <f t="shared" ref="W26:X26" si="54">U26*12</f>
        <v>0</v>
      </c>
      <c r="X26" s="130">
        <f t="shared" si="54"/>
        <v>0</v>
      </c>
      <c r="Y26" s="131" t="str">
        <f t="shared" si="15"/>
        <v/>
      </c>
    </row>
    <row r="27" ht="13.5" hidden="1" customHeight="1">
      <c r="A27" s="103" t="s">
        <v>66</v>
      </c>
      <c r="B27" s="123">
        <v>4.0</v>
      </c>
      <c r="C27" s="104">
        <v>28.85</v>
      </c>
      <c r="D27" s="105">
        <f t="shared" si="1"/>
        <v>115.4</v>
      </c>
      <c r="E27" s="106">
        <v>45049.0</v>
      </c>
      <c r="F27" s="107" t="str">
        <f t="shared" si="2"/>
        <v>2023 Q1</v>
      </c>
      <c r="G27" s="105">
        <f t="shared" si="40"/>
        <v>115.75774</v>
      </c>
      <c r="I27" s="104"/>
      <c r="J27" s="124">
        <v>0.0</v>
      </c>
      <c r="K27" s="46" t="s">
        <v>93</v>
      </c>
      <c r="L27" s="70" t="s">
        <v>94</v>
      </c>
      <c r="M27" s="49">
        <f t="shared" si="6"/>
        <v>0</v>
      </c>
      <c r="N27" s="126">
        <f t="shared" si="45"/>
        <v>0</v>
      </c>
      <c r="O27" s="127">
        <f t="shared" si="46"/>
        <v>0</v>
      </c>
      <c r="P27" s="128">
        <f>IFERROR(__xludf.DUMMYFUNCTION("GOOGLEFINANCE(K27,""price"")"),19.48)</f>
        <v>19.48</v>
      </c>
      <c r="Q27" s="58">
        <f t="shared" si="9"/>
        <v>0.1246</v>
      </c>
      <c r="R27" s="58">
        <f t="shared" si="10"/>
        <v>0.17365</v>
      </c>
      <c r="S27" s="129">
        <f t="shared" si="11"/>
        <v>0</v>
      </c>
      <c r="T27" s="129">
        <f t="shared" si="12"/>
        <v>0</v>
      </c>
      <c r="U27" s="130">
        <f t="shared" ref="U27:V27" si="55">S27/3</f>
        <v>0</v>
      </c>
      <c r="V27" s="130">
        <f t="shared" si="55"/>
        <v>0</v>
      </c>
      <c r="W27" s="130">
        <f t="shared" ref="W27:X27" si="56">U27*12</f>
        <v>0</v>
      </c>
      <c r="X27" s="130">
        <f t="shared" si="56"/>
        <v>0</v>
      </c>
      <c r="Y27" s="131" t="str">
        <f t="shared" si="15"/>
        <v/>
      </c>
    </row>
    <row r="28" ht="13.5" hidden="1" customHeight="1">
      <c r="A28" s="103" t="s">
        <v>61</v>
      </c>
      <c r="B28" s="123">
        <v>5.0</v>
      </c>
      <c r="C28" s="104">
        <v>23.9</v>
      </c>
      <c r="D28" s="105">
        <f t="shared" si="1"/>
        <v>119.5</v>
      </c>
      <c r="E28" s="106">
        <v>45049.0</v>
      </c>
      <c r="F28" s="107" t="str">
        <f t="shared" si="2"/>
        <v>2023 Q1</v>
      </c>
      <c r="G28" s="105">
        <f t="shared" si="40"/>
        <v>119.87045</v>
      </c>
      <c r="I28" s="104"/>
      <c r="J28" s="124">
        <v>0.0</v>
      </c>
      <c r="K28" s="71" t="s">
        <v>95</v>
      </c>
      <c r="L28" s="66" t="s">
        <v>96</v>
      </c>
      <c r="M28" s="49">
        <f t="shared" si="6"/>
        <v>0</v>
      </c>
      <c r="N28" s="126">
        <f t="shared" si="45"/>
        <v>0</v>
      </c>
      <c r="O28" s="127">
        <f t="shared" si="46"/>
        <v>0</v>
      </c>
      <c r="P28" s="132">
        <f>IFERROR(yahooF(K28&amp;".MX",1),20)</f>
        <v>20</v>
      </c>
      <c r="Q28" s="58">
        <f t="shared" si="9"/>
        <v>0.474875</v>
      </c>
      <c r="R28" s="58">
        <f t="shared" si="10"/>
        <v>0.094975</v>
      </c>
      <c r="S28" s="129">
        <f t="shared" si="11"/>
        <v>0</v>
      </c>
      <c r="T28" s="129">
        <f t="shared" si="12"/>
        <v>0</v>
      </c>
      <c r="U28" s="130">
        <f t="shared" ref="U28:V28" si="57">S28/3</f>
        <v>0</v>
      </c>
      <c r="V28" s="130">
        <f t="shared" si="57"/>
        <v>0</v>
      </c>
      <c r="W28" s="130">
        <f t="shared" ref="W28:X28" si="58">U28*12</f>
        <v>0</v>
      </c>
      <c r="X28" s="130">
        <f t="shared" si="58"/>
        <v>0</v>
      </c>
      <c r="Y28" s="131" t="str">
        <f t="shared" si="15"/>
        <v/>
      </c>
    </row>
    <row r="29" ht="13.5" hidden="1" customHeight="1">
      <c r="A29" s="103" t="s">
        <v>66</v>
      </c>
      <c r="B29" s="123">
        <v>5.0</v>
      </c>
      <c r="C29" s="104">
        <v>28.63</v>
      </c>
      <c r="D29" s="105">
        <f t="shared" si="1"/>
        <v>143.15</v>
      </c>
      <c r="E29" s="106">
        <v>45049.0</v>
      </c>
      <c r="F29" s="107" t="str">
        <f t="shared" si="2"/>
        <v>2023 Q1</v>
      </c>
      <c r="G29" s="105">
        <f t="shared" si="40"/>
        <v>143.593765</v>
      </c>
      <c r="J29" s="124">
        <v>0.0</v>
      </c>
      <c r="K29" s="71" t="s">
        <v>98</v>
      </c>
      <c r="L29" s="66" t="s">
        <v>99</v>
      </c>
      <c r="M29" s="49">
        <f t="shared" si="6"/>
        <v>0</v>
      </c>
      <c r="N29" s="126" t="str">
        <f t="shared" si="45"/>
        <v>#VALUE!</v>
      </c>
      <c r="O29" s="127" t="str">
        <f t="shared" si="46"/>
        <v>#VALUE!</v>
      </c>
      <c r="P29" s="132" t="str">
        <f>IFERROR(yahooF(K29&amp;".MX",1),L29)</f>
        <v>FIBRA eMX</v>
      </c>
      <c r="Q29" s="58" t="str">
        <f t="shared" si="9"/>
        <v/>
      </c>
      <c r="R29" s="58">
        <f t="shared" si="10"/>
        <v>0</v>
      </c>
      <c r="S29" s="129" t="str">
        <f t="shared" si="11"/>
        <v>#VALUE!</v>
      </c>
      <c r="T29" s="129" t="str">
        <f t="shared" si="12"/>
        <v>#VALUE!</v>
      </c>
      <c r="U29" s="130" t="str">
        <f t="shared" ref="U29:V29" si="59">S29/3</f>
        <v>#VALUE!</v>
      </c>
      <c r="V29" s="130" t="str">
        <f t="shared" si="59"/>
        <v>#VALUE!</v>
      </c>
      <c r="W29" s="130" t="str">
        <f t="shared" ref="W29:X29" si="60">U29*12</f>
        <v>#VALUE!</v>
      </c>
      <c r="X29" s="130" t="str">
        <f t="shared" si="60"/>
        <v>#VALUE!</v>
      </c>
      <c r="Y29" s="131" t="str">
        <f t="shared" si="15"/>
        <v/>
      </c>
    </row>
    <row r="30" ht="13.5" hidden="1" customHeight="1">
      <c r="A30" s="103" t="s">
        <v>66</v>
      </c>
      <c r="B30" s="123">
        <v>4.0</v>
      </c>
      <c r="C30" s="104">
        <v>28.47</v>
      </c>
      <c r="D30" s="105">
        <f t="shared" si="1"/>
        <v>113.88</v>
      </c>
      <c r="E30" s="106">
        <v>45049.0</v>
      </c>
      <c r="F30" s="107" t="str">
        <f t="shared" si="2"/>
        <v>2023 Q1</v>
      </c>
      <c r="G30" s="105">
        <f t="shared" si="40"/>
        <v>114.233028</v>
      </c>
      <c r="J30" s="124">
        <v>0.0</v>
      </c>
      <c r="K30" s="74" t="s">
        <v>100</v>
      </c>
      <c r="L30" s="133" t="s">
        <v>101</v>
      </c>
      <c r="M30" s="49">
        <f t="shared" si="6"/>
        <v>0</v>
      </c>
      <c r="N30" s="126">
        <f t="shared" si="45"/>
        <v>0</v>
      </c>
      <c r="O30" s="127">
        <f t="shared" si="46"/>
        <v>0</v>
      </c>
      <c r="P30" s="128">
        <v>40.0</v>
      </c>
      <c r="Q30" s="58" t="str">
        <f t="shared" si="9"/>
        <v/>
      </c>
      <c r="R30" s="58">
        <f t="shared" si="10"/>
        <v>0</v>
      </c>
      <c r="S30" s="129">
        <f t="shared" si="11"/>
        <v>0</v>
      </c>
      <c r="T30" s="129">
        <f t="shared" si="12"/>
        <v>0</v>
      </c>
      <c r="U30" s="130">
        <f t="shared" ref="U30:V30" si="61">S30/3</f>
        <v>0</v>
      </c>
      <c r="V30" s="130">
        <f t="shared" si="61"/>
        <v>0</v>
      </c>
      <c r="W30" s="130">
        <f t="shared" ref="W30:X30" si="62">U30*12</f>
        <v>0</v>
      </c>
      <c r="X30" s="130">
        <f t="shared" si="62"/>
        <v>0</v>
      </c>
      <c r="Y30" s="131" t="str">
        <f t="shared" si="15"/>
        <v/>
      </c>
    </row>
    <row r="31" ht="13.5" customHeight="1">
      <c r="A31" s="103" t="s">
        <v>61</v>
      </c>
      <c r="B31" s="103">
        <v>6.0</v>
      </c>
      <c r="C31" s="103">
        <v>23.53</v>
      </c>
      <c r="D31" s="105">
        <f t="shared" si="1"/>
        <v>141.18</v>
      </c>
      <c r="E31" s="106">
        <v>45049.0</v>
      </c>
      <c r="F31" s="107" t="str">
        <f t="shared" si="2"/>
        <v>2023 Q1</v>
      </c>
      <c r="G31" s="105">
        <f t="shared" si="40"/>
        <v>141.617658</v>
      </c>
      <c r="J31" s="124">
        <f>SUM(J7:J30)</f>
        <v>0</v>
      </c>
      <c r="L31" s="134"/>
      <c r="M31" s="135">
        <f>SUM(M7:M30)</f>
        <v>0</v>
      </c>
      <c r="N31" s="136"/>
      <c r="O31" s="137" t="str">
        <f>SUM(O7:O30)</f>
        <v>#N/A</v>
      </c>
      <c r="P31" s="138"/>
      <c r="Q31" s="139"/>
      <c r="R31" s="139"/>
      <c r="S31" s="140"/>
      <c r="T31" s="129"/>
      <c r="U31" s="137" t="str">
        <f t="shared" ref="U31:X31" si="63">SUM(U7:U30)</f>
        <v>#N/A</v>
      </c>
      <c r="V31" s="137" t="str">
        <f t="shared" si="63"/>
        <v>#N/A</v>
      </c>
      <c r="W31" s="137" t="str">
        <f t="shared" si="63"/>
        <v>#N/A</v>
      </c>
      <c r="X31" s="137" t="str">
        <f t="shared" si="63"/>
        <v>#N/A</v>
      </c>
      <c r="Y31" s="141" t="str">
        <f>X31/J31</f>
        <v>#N/A</v>
      </c>
    </row>
    <row r="32" ht="13.5" customHeight="1">
      <c r="A32" s="103" t="s">
        <v>72</v>
      </c>
      <c r="B32" s="103">
        <v>1.0</v>
      </c>
      <c r="C32" s="103">
        <v>6.12</v>
      </c>
      <c r="D32" s="105">
        <f t="shared" si="1"/>
        <v>6.12</v>
      </c>
      <c r="E32" s="106">
        <v>45049.0</v>
      </c>
      <c r="F32" s="107" t="str">
        <f t="shared" si="2"/>
        <v>2023 Q1</v>
      </c>
      <c r="G32" s="105">
        <f t="shared" si="40"/>
        <v>6.138972</v>
      </c>
      <c r="N32" s="91"/>
      <c r="O32" s="142"/>
    </row>
    <row r="33" ht="13.5" customHeight="1">
      <c r="A33" s="103" t="s">
        <v>62</v>
      </c>
      <c r="B33" s="103">
        <v>9.0</v>
      </c>
      <c r="C33" s="103">
        <v>24.31</v>
      </c>
      <c r="D33" s="105">
        <f t="shared" si="1"/>
        <v>218.79</v>
      </c>
      <c r="E33" s="106">
        <v>45049.0</v>
      </c>
      <c r="F33" s="107" t="str">
        <f t="shared" si="2"/>
        <v>2023 Q1</v>
      </c>
      <c r="G33" s="105">
        <f t="shared" si="40"/>
        <v>219.468249</v>
      </c>
      <c r="N33" s="91"/>
      <c r="O33" s="142"/>
    </row>
    <row r="34" ht="13.5" customHeight="1">
      <c r="A34" s="103" t="s">
        <v>66</v>
      </c>
      <c r="B34" s="103">
        <v>1.0</v>
      </c>
      <c r="C34" s="103">
        <v>28.63</v>
      </c>
      <c r="D34" s="105">
        <f t="shared" si="1"/>
        <v>28.63</v>
      </c>
      <c r="E34" s="106">
        <v>45049.0</v>
      </c>
      <c r="F34" s="107" t="str">
        <f t="shared" si="2"/>
        <v>2023 Q1</v>
      </c>
      <c r="G34" s="105">
        <f t="shared" si="40"/>
        <v>28.718753</v>
      </c>
      <c r="N34" s="91"/>
      <c r="O34" s="142"/>
    </row>
    <row r="35" ht="13.5" customHeight="1">
      <c r="A35" s="103" t="s">
        <v>58</v>
      </c>
      <c r="B35" s="103">
        <v>1.0</v>
      </c>
      <c r="C35" s="103">
        <v>16.88</v>
      </c>
      <c r="D35" s="105">
        <f t="shared" si="1"/>
        <v>16.88</v>
      </c>
      <c r="E35" s="106">
        <v>45049.0</v>
      </c>
      <c r="F35" s="107" t="str">
        <f t="shared" si="2"/>
        <v>2023 Q1</v>
      </c>
      <c r="G35" s="105">
        <f t="shared" si="40"/>
        <v>16.932328</v>
      </c>
      <c r="N35" s="91"/>
      <c r="O35" s="142"/>
    </row>
    <row r="36" ht="13.5" customHeight="1">
      <c r="A36" s="103" t="s">
        <v>66</v>
      </c>
      <c r="B36" s="103">
        <v>10.0</v>
      </c>
      <c r="C36" s="103">
        <v>28.51</v>
      </c>
      <c r="D36" s="105">
        <f t="shared" si="1"/>
        <v>285.1</v>
      </c>
      <c r="E36" s="106">
        <v>45049.0</v>
      </c>
      <c r="F36" s="107" t="str">
        <f t="shared" si="2"/>
        <v>2023 Q1</v>
      </c>
      <c r="G36" s="105">
        <f t="shared" si="40"/>
        <v>285.98381</v>
      </c>
      <c r="N36" s="91"/>
      <c r="O36" s="142"/>
    </row>
    <row r="37" ht="13.5" customHeight="1">
      <c r="A37" s="103" t="s">
        <v>63</v>
      </c>
      <c r="B37" s="103">
        <v>6.0</v>
      </c>
      <c r="C37" s="103">
        <v>11.99</v>
      </c>
      <c r="D37" s="105">
        <f t="shared" si="1"/>
        <v>71.94</v>
      </c>
      <c r="E37" s="106">
        <v>45049.0</v>
      </c>
      <c r="F37" s="107" t="str">
        <f t="shared" si="2"/>
        <v>2023 Q1</v>
      </c>
      <c r="G37" s="105">
        <f t="shared" si="40"/>
        <v>72.163014</v>
      </c>
      <c r="N37" s="91"/>
      <c r="O37" s="142"/>
    </row>
    <row r="38" ht="13.5" customHeight="1">
      <c r="A38" s="103" t="s">
        <v>62</v>
      </c>
      <c r="B38" s="103">
        <v>15.0</v>
      </c>
      <c r="C38" s="103">
        <v>24.0</v>
      </c>
      <c r="D38" s="105">
        <f t="shared" si="1"/>
        <v>360</v>
      </c>
      <c r="E38" s="106">
        <v>45049.0</v>
      </c>
      <c r="F38" s="107" t="str">
        <f t="shared" si="2"/>
        <v>2023 Q1</v>
      </c>
      <c r="G38" s="105">
        <f t="shared" si="40"/>
        <v>361.116</v>
      </c>
      <c r="N38" s="91"/>
      <c r="O38" s="142"/>
    </row>
    <row r="39" ht="13.5" customHeight="1">
      <c r="A39" s="103" t="s">
        <v>65</v>
      </c>
      <c r="B39" s="103">
        <v>30.0</v>
      </c>
      <c r="C39" s="103">
        <v>29.0</v>
      </c>
      <c r="D39" s="105">
        <f t="shared" si="1"/>
        <v>870</v>
      </c>
      <c r="E39" s="106">
        <v>45049.0</v>
      </c>
      <c r="F39" s="107" t="str">
        <f t="shared" si="2"/>
        <v>2023 Q1</v>
      </c>
      <c r="G39" s="105">
        <f t="shared" si="40"/>
        <v>872.697</v>
      </c>
      <c r="N39" s="91"/>
      <c r="O39" s="142"/>
    </row>
    <row r="40" ht="13.5" customHeight="1">
      <c r="A40" s="103" t="s">
        <v>60</v>
      </c>
      <c r="B40" s="123">
        <v>4.0</v>
      </c>
      <c r="C40" s="104">
        <v>27.92</v>
      </c>
      <c r="D40" s="105">
        <f t="shared" si="1"/>
        <v>111.68</v>
      </c>
      <c r="E40" s="106">
        <v>45049.0</v>
      </c>
      <c r="F40" s="107" t="str">
        <f t="shared" si="2"/>
        <v>2023 Q1</v>
      </c>
      <c r="G40" s="105">
        <f t="shared" si="40"/>
        <v>112.026208</v>
      </c>
      <c r="H40" s="104"/>
      <c r="N40" s="91"/>
      <c r="O40" s="142"/>
    </row>
    <row r="41" ht="13.5" customHeight="1">
      <c r="A41" s="103" t="s">
        <v>63</v>
      </c>
      <c r="B41" s="123">
        <v>33.0</v>
      </c>
      <c r="C41" s="104">
        <v>11.88</v>
      </c>
      <c r="D41" s="105">
        <f t="shared" si="1"/>
        <v>392.04</v>
      </c>
      <c r="E41" s="106">
        <v>45049.0</v>
      </c>
      <c r="F41" s="107" t="str">
        <f t="shared" si="2"/>
        <v>2023 Q1</v>
      </c>
      <c r="G41" s="105">
        <f t="shared" si="40"/>
        <v>393.255324</v>
      </c>
      <c r="H41" s="104"/>
      <c r="N41" s="91"/>
      <c r="O41" s="142"/>
    </row>
    <row r="42" ht="13.5" customHeight="1">
      <c r="A42" s="103" t="s">
        <v>72</v>
      </c>
      <c r="B42" s="123">
        <v>1.0</v>
      </c>
      <c r="C42" s="104">
        <v>6.14</v>
      </c>
      <c r="D42" s="105">
        <f t="shared" si="1"/>
        <v>6.14</v>
      </c>
      <c r="E42" s="106">
        <v>45049.0</v>
      </c>
      <c r="F42" s="107" t="str">
        <f t="shared" si="2"/>
        <v>2023 Q1</v>
      </c>
      <c r="G42" s="105">
        <f t="shared" si="40"/>
        <v>6.159034</v>
      </c>
      <c r="H42" s="104"/>
      <c r="N42" s="91"/>
      <c r="O42" s="142"/>
    </row>
    <row r="43" ht="13.5" customHeight="1">
      <c r="A43" s="103" t="s">
        <v>65</v>
      </c>
      <c r="B43" s="123">
        <v>20.0</v>
      </c>
      <c r="C43" s="104">
        <v>29.31</v>
      </c>
      <c r="D43" s="105">
        <f t="shared" si="1"/>
        <v>586.2</v>
      </c>
      <c r="E43" s="106">
        <v>45049.0</v>
      </c>
      <c r="F43" s="107" t="str">
        <f t="shared" si="2"/>
        <v>2023 Q1</v>
      </c>
      <c r="G43" s="105">
        <f t="shared" si="40"/>
        <v>588.01722</v>
      </c>
      <c r="N43" s="91"/>
      <c r="O43" s="142"/>
    </row>
    <row r="44" ht="13.5" customHeight="1">
      <c r="A44" s="103" t="s">
        <v>72</v>
      </c>
      <c r="B44" s="123">
        <v>1.0</v>
      </c>
      <c r="C44" s="104">
        <v>6.14</v>
      </c>
      <c r="D44" s="105">
        <f t="shared" si="1"/>
        <v>6.14</v>
      </c>
      <c r="E44" s="106">
        <v>45049.0</v>
      </c>
      <c r="F44" s="107" t="str">
        <f t="shared" si="2"/>
        <v>2023 Q1</v>
      </c>
      <c r="G44" s="105">
        <f t="shared" si="40"/>
        <v>6.159034</v>
      </c>
      <c r="N44" s="91"/>
      <c r="O44" s="142"/>
    </row>
    <row r="45" ht="13.5" customHeight="1">
      <c r="A45" s="103" t="s">
        <v>65</v>
      </c>
      <c r="B45" s="123">
        <v>21.0</v>
      </c>
      <c r="C45" s="104">
        <v>29.08</v>
      </c>
      <c r="D45" s="105">
        <f t="shared" si="1"/>
        <v>610.68</v>
      </c>
      <c r="E45" s="106">
        <v>45049.0</v>
      </c>
      <c r="F45" s="107" t="str">
        <f t="shared" si="2"/>
        <v>2023 Q1</v>
      </c>
      <c r="G45" s="105">
        <f t="shared" si="40"/>
        <v>612.573108</v>
      </c>
      <c r="N45" s="91"/>
      <c r="O45" s="142"/>
    </row>
    <row r="46" ht="13.5" customHeight="1">
      <c r="A46" s="103" t="s">
        <v>72</v>
      </c>
      <c r="B46" s="123">
        <v>1.0</v>
      </c>
      <c r="C46" s="104">
        <v>6.05</v>
      </c>
      <c r="D46" s="105">
        <f t="shared" si="1"/>
        <v>6.05</v>
      </c>
      <c r="E46" s="106">
        <v>45049.0</v>
      </c>
      <c r="F46" s="107" t="str">
        <f t="shared" si="2"/>
        <v>2023 Q1</v>
      </c>
      <c r="G46" s="105">
        <f t="shared" si="40"/>
        <v>6.068755</v>
      </c>
      <c r="N46" s="91"/>
      <c r="O46" s="142"/>
    </row>
    <row r="47" ht="13.5" customHeight="1">
      <c r="A47" s="103" t="s">
        <v>63</v>
      </c>
      <c r="B47" s="123">
        <v>1.0</v>
      </c>
      <c r="C47" s="104">
        <v>11.87</v>
      </c>
      <c r="D47" s="105">
        <f t="shared" si="1"/>
        <v>11.87</v>
      </c>
      <c r="E47" s="106">
        <v>45049.0</v>
      </c>
      <c r="F47" s="107" t="str">
        <f t="shared" si="2"/>
        <v>2023 Q1</v>
      </c>
      <c r="G47" s="105">
        <f t="shared" si="40"/>
        <v>11.906797</v>
      </c>
      <c r="N47" s="91"/>
      <c r="O47" s="142"/>
    </row>
    <row r="48" ht="13.5" customHeight="1">
      <c r="A48" s="103" t="s">
        <v>103</v>
      </c>
      <c r="B48" s="123">
        <v>-1.0</v>
      </c>
      <c r="C48" s="104">
        <v>21.18</v>
      </c>
      <c r="D48" s="105">
        <f t="shared" si="1"/>
        <v>-21.18</v>
      </c>
      <c r="E48" s="106">
        <v>45049.0</v>
      </c>
      <c r="F48" s="107" t="str">
        <f t="shared" si="2"/>
        <v>2023 Q1</v>
      </c>
      <c r="G48" s="105">
        <f t="shared" si="40"/>
        <v>0</v>
      </c>
      <c r="N48" s="91"/>
      <c r="O48" s="142"/>
    </row>
    <row r="49" ht="13.5" customHeight="1">
      <c r="A49" s="103" t="s">
        <v>63</v>
      </c>
      <c r="B49" s="123">
        <v>13.0</v>
      </c>
      <c r="C49" s="104">
        <v>11.78</v>
      </c>
      <c r="D49" s="105">
        <f t="shared" si="1"/>
        <v>153.14</v>
      </c>
      <c r="E49" s="106">
        <v>45049.0</v>
      </c>
      <c r="F49" s="107" t="str">
        <f t="shared" si="2"/>
        <v>2023 Q1</v>
      </c>
      <c r="G49" s="105">
        <f t="shared" si="40"/>
        <v>153.614734</v>
      </c>
      <c r="N49" s="91"/>
      <c r="O49" s="142"/>
    </row>
    <row r="50" ht="13.5" customHeight="1">
      <c r="A50" s="103" t="s">
        <v>72</v>
      </c>
      <c r="B50" s="123">
        <v>3.0</v>
      </c>
      <c r="C50" s="104">
        <v>5.9</v>
      </c>
      <c r="D50" s="105">
        <f t="shared" si="1"/>
        <v>17.7</v>
      </c>
      <c r="E50" s="106">
        <v>45049.0</v>
      </c>
      <c r="F50" s="107" t="str">
        <f t="shared" si="2"/>
        <v>2023 Q1</v>
      </c>
      <c r="G50" s="105">
        <f t="shared" si="40"/>
        <v>17.75487</v>
      </c>
      <c r="N50" s="91"/>
      <c r="O50" s="142"/>
    </row>
    <row r="51" ht="13.5" customHeight="1">
      <c r="A51" s="103" t="s">
        <v>70</v>
      </c>
      <c r="B51" s="123">
        <v>14.0</v>
      </c>
      <c r="C51" s="104">
        <v>25.45</v>
      </c>
      <c r="D51" s="105">
        <f t="shared" si="1"/>
        <v>356.3</v>
      </c>
      <c r="E51" s="106">
        <v>45049.0</v>
      </c>
      <c r="F51" s="107" t="str">
        <f t="shared" si="2"/>
        <v>2023 Q1</v>
      </c>
      <c r="G51" s="105">
        <f t="shared" si="40"/>
        <v>357.40453</v>
      </c>
      <c r="N51" s="91"/>
      <c r="O51" s="142"/>
    </row>
    <row r="52" ht="13.5" customHeight="1">
      <c r="A52" s="103" t="s">
        <v>72</v>
      </c>
      <c r="B52" s="123">
        <v>3.0</v>
      </c>
      <c r="C52" s="104">
        <v>5.8</v>
      </c>
      <c r="D52" s="105">
        <f t="shared" si="1"/>
        <v>17.4</v>
      </c>
      <c r="E52" s="106">
        <v>45049.0</v>
      </c>
      <c r="F52" s="107" t="str">
        <f t="shared" si="2"/>
        <v>2023 Q1</v>
      </c>
      <c r="G52" s="105">
        <f t="shared" si="40"/>
        <v>17.45394</v>
      </c>
      <c r="N52" s="91"/>
      <c r="O52" s="142"/>
    </row>
    <row r="53" ht="13.5" customHeight="1">
      <c r="A53" s="103" t="s">
        <v>61</v>
      </c>
      <c r="B53" s="123">
        <v>30.0</v>
      </c>
      <c r="C53" s="104">
        <v>22.01</v>
      </c>
      <c r="D53" s="105">
        <f t="shared" si="1"/>
        <v>660.3</v>
      </c>
      <c r="E53" s="106">
        <v>45049.0</v>
      </c>
      <c r="F53" s="107" t="str">
        <f t="shared" si="2"/>
        <v>2023 Q1</v>
      </c>
      <c r="G53" s="105">
        <f t="shared" si="40"/>
        <v>662.34693</v>
      </c>
      <c r="N53" s="91"/>
      <c r="O53" s="142"/>
    </row>
    <row r="54" ht="13.5" customHeight="1">
      <c r="A54" s="103" t="s">
        <v>63</v>
      </c>
      <c r="B54" s="123">
        <v>1.0</v>
      </c>
      <c r="C54" s="104">
        <v>11.79</v>
      </c>
      <c r="D54" s="105">
        <f t="shared" si="1"/>
        <v>11.79</v>
      </c>
      <c r="E54" s="106">
        <v>45049.0</v>
      </c>
      <c r="F54" s="107" t="str">
        <f t="shared" si="2"/>
        <v>2023 Q1</v>
      </c>
      <c r="G54" s="105">
        <f t="shared" si="40"/>
        <v>11.826549</v>
      </c>
      <c r="N54" s="91"/>
      <c r="O54" s="142"/>
    </row>
    <row r="55" ht="13.5" customHeight="1">
      <c r="A55" s="103" t="s">
        <v>60</v>
      </c>
      <c r="B55" s="123">
        <v>2.0</v>
      </c>
      <c r="C55" s="104">
        <v>28.15</v>
      </c>
      <c r="D55" s="105">
        <f t="shared" si="1"/>
        <v>56.3</v>
      </c>
      <c r="E55" s="106">
        <v>45049.0</v>
      </c>
      <c r="F55" s="107" t="str">
        <f t="shared" si="2"/>
        <v>2023 Q1</v>
      </c>
      <c r="G55" s="105">
        <f t="shared" si="40"/>
        <v>56.47453</v>
      </c>
      <c r="N55" s="91"/>
      <c r="O55" s="142"/>
    </row>
    <row r="56" ht="13.5" customHeight="1">
      <c r="A56" s="103" t="s">
        <v>60</v>
      </c>
      <c r="B56" s="123">
        <v>1.0</v>
      </c>
      <c r="C56" s="104">
        <v>26.75</v>
      </c>
      <c r="D56" s="105">
        <f t="shared" si="1"/>
        <v>26.75</v>
      </c>
      <c r="E56" s="106">
        <v>45049.0</v>
      </c>
      <c r="F56" s="107" t="str">
        <f t="shared" si="2"/>
        <v>2023 Q1</v>
      </c>
      <c r="G56" s="105">
        <f t="shared" si="40"/>
        <v>26.832925</v>
      </c>
      <c r="N56" s="91"/>
      <c r="O56" s="142"/>
    </row>
    <row r="57" ht="13.5" customHeight="1">
      <c r="A57" s="103" t="s">
        <v>60</v>
      </c>
      <c r="B57" s="123">
        <v>8.0</v>
      </c>
      <c r="C57" s="104">
        <v>27.05</v>
      </c>
      <c r="D57" s="105">
        <f t="shared" si="1"/>
        <v>216.4</v>
      </c>
      <c r="E57" s="106">
        <v>45141.0</v>
      </c>
      <c r="F57" s="107" t="str">
        <f t="shared" si="2"/>
        <v>2023 Q2</v>
      </c>
      <c r="G57" s="105">
        <f t="shared" si="40"/>
        <v>217.07084</v>
      </c>
      <c r="N57" s="91"/>
      <c r="O57" s="142"/>
    </row>
    <row r="58" ht="13.5" customHeight="1">
      <c r="A58" s="102" t="s">
        <v>58</v>
      </c>
      <c r="B58" s="112">
        <v>20.0</v>
      </c>
      <c r="C58" s="105">
        <v>16.12</v>
      </c>
      <c r="D58" s="105">
        <f t="shared" si="1"/>
        <v>322.4</v>
      </c>
      <c r="E58" s="106">
        <v>45181.0</v>
      </c>
      <c r="F58" s="107" t="str">
        <f t="shared" si="2"/>
        <v>2023 Q2</v>
      </c>
      <c r="G58" s="105">
        <f t="shared" ref="G58:G59" si="64">IF(B58&gt;0,D58*1.0031,0)</f>
        <v>323.39944</v>
      </c>
      <c r="N58" s="91"/>
      <c r="O58" s="142"/>
    </row>
    <row r="59" ht="13.5" customHeight="1">
      <c r="A59" s="103" t="s">
        <v>63</v>
      </c>
      <c r="B59" s="123">
        <v>67.0</v>
      </c>
      <c r="C59" s="104">
        <v>11.18</v>
      </c>
      <c r="D59" s="105">
        <f t="shared" si="1"/>
        <v>749.06</v>
      </c>
      <c r="E59" s="106">
        <v>45181.0</v>
      </c>
      <c r="F59" s="107" t="str">
        <f t="shared" si="2"/>
        <v>2023 Q2</v>
      </c>
      <c r="G59" s="105">
        <f t="shared" si="64"/>
        <v>751.382086</v>
      </c>
      <c r="N59" s="91"/>
      <c r="O59" s="142"/>
    </row>
    <row r="60" ht="13.5" customHeight="1">
      <c r="A60" s="103" t="s">
        <v>61</v>
      </c>
      <c r="B60" s="123">
        <v>9.0</v>
      </c>
      <c r="C60" s="104">
        <v>19.9</v>
      </c>
      <c r="D60" s="105">
        <f t="shared" si="1"/>
        <v>179.1</v>
      </c>
      <c r="E60" s="106">
        <v>45184.0</v>
      </c>
      <c r="F60" s="107" t="str">
        <f t="shared" si="2"/>
        <v>2023 Q2</v>
      </c>
      <c r="G60" s="105">
        <f t="shared" ref="G60:G62" si="65">IF(B60&gt;0,D60*1.0031,(H60*B60)+I60)</f>
        <v>179.65521</v>
      </c>
      <c r="N60" s="91"/>
      <c r="O60" s="142"/>
    </row>
    <row r="61" ht="13.5" customHeight="1">
      <c r="A61" s="103" t="s">
        <v>61</v>
      </c>
      <c r="B61" s="123">
        <v>8.0</v>
      </c>
      <c r="C61" s="104">
        <v>19.59</v>
      </c>
      <c r="D61" s="105">
        <f t="shared" si="1"/>
        <v>156.72</v>
      </c>
      <c r="E61" s="106">
        <v>45196.0</v>
      </c>
      <c r="F61" s="107" t="str">
        <f t="shared" si="2"/>
        <v>2023 Q2</v>
      </c>
      <c r="G61" s="105">
        <f t="shared" si="65"/>
        <v>157.205832</v>
      </c>
      <c r="N61" s="91"/>
      <c r="O61" s="142"/>
    </row>
    <row r="62" ht="13.5" customHeight="1">
      <c r="A62" s="103" t="s">
        <v>61</v>
      </c>
      <c r="B62" s="123">
        <v>7.0</v>
      </c>
      <c r="C62" s="104">
        <v>19.46</v>
      </c>
      <c r="D62" s="105">
        <f t="shared" si="1"/>
        <v>136.22</v>
      </c>
      <c r="E62" s="106">
        <v>45257.0</v>
      </c>
      <c r="F62" s="107" t="str">
        <f t="shared" si="2"/>
        <v>2023 Q3</v>
      </c>
      <c r="G62" s="105">
        <f t="shared" si="65"/>
        <v>136.642282</v>
      </c>
      <c r="N62" s="91"/>
      <c r="O62" s="142"/>
    </row>
    <row r="63" ht="13.5" customHeight="1">
      <c r="A63" s="143"/>
      <c r="B63" s="144"/>
      <c r="C63" s="145"/>
      <c r="D63" s="145"/>
      <c r="E63" s="146"/>
      <c r="N63" s="91"/>
      <c r="O63" s="142"/>
    </row>
    <row r="64" ht="13.5" customHeight="1">
      <c r="A64" s="143"/>
      <c r="B64" s="144"/>
      <c r="C64" s="145"/>
      <c r="D64" s="145"/>
      <c r="E64" s="146"/>
      <c r="N64" s="91"/>
      <c r="O64" s="142"/>
    </row>
    <row r="65" ht="13.5" customHeight="1">
      <c r="A65" s="143"/>
      <c r="B65" s="144"/>
      <c r="C65" s="145"/>
      <c r="D65" s="145"/>
      <c r="E65" s="146"/>
      <c r="N65" s="91"/>
      <c r="O65" s="142"/>
    </row>
    <row r="66" ht="13.5" customHeight="1">
      <c r="A66" s="143"/>
      <c r="B66" s="144"/>
      <c r="C66" s="145"/>
      <c r="D66" s="145"/>
      <c r="E66" s="146"/>
      <c r="N66" s="91"/>
      <c r="O66" s="142"/>
    </row>
    <row r="67" ht="13.5" customHeight="1">
      <c r="A67" s="143"/>
      <c r="B67" s="144"/>
      <c r="C67" s="145"/>
      <c r="D67" s="145"/>
      <c r="E67" s="146"/>
      <c r="N67" s="91"/>
      <c r="O67" s="142"/>
    </row>
    <row r="68" ht="13.5" customHeight="1">
      <c r="A68" s="143"/>
      <c r="B68" s="144"/>
      <c r="C68" s="145"/>
      <c r="D68" s="145"/>
      <c r="E68" s="146"/>
      <c r="N68" s="91"/>
      <c r="O68" s="142"/>
    </row>
    <row r="69" ht="13.5" customHeight="1">
      <c r="A69" s="143"/>
      <c r="B69" s="144"/>
      <c r="C69" s="145"/>
      <c r="D69" s="145"/>
      <c r="E69" s="146"/>
      <c r="N69" s="91"/>
      <c r="O69" s="142"/>
    </row>
    <row r="70" ht="13.5" customHeight="1">
      <c r="A70" s="143"/>
      <c r="B70" s="144"/>
      <c r="C70" s="145"/>
      <c r="D70" s="145"/>
      <c r="E70" s="146"/>
      <c r="N70" s="91"/>
      <c r="O70" s="142"/>
    </row>
    <row r="71" ht="13.5" customHeight="1">
      <c r="A71" s="143"/>
      <c r="B71" s="144"/>
      <c r="C71" s="145"/>
      <c r="D71" s="145"/>
      <c r="E71" s="146"/>
      <c r="N71" s="91"/>
      <c r="O71" s="142"/>
    </row>
    <row r="72" ht="13.5" customHeight="1">
      <c r="A72" s="143"/>
      <c r="B72" s="144"/>
      <c r="C72" s="145"/>
      <c r="D72" s="145"/>
      <c r="E72" s="146"/>
      <c r="N72" s="91"/>
      <c r="O72" s="142"/>
    </row>
    <row r="73" ht="13.5" customHeight="1">
      <c r="A73" s="143"/>
      <c r="B73" s="144"/>
      <c r="C73" s="145"/>
      <c r="D73" s="145"/>
      <c r="E73" s="146"/>
      <c r="N73" s="91"/>
      <c r="O73" s="142"/>
    </row>
    <row r="74" ht="13.5" customHeight="1">
      <c r="A74" s="143"/>
      <c r="B74" s="144"/>
      <c r="C74" s="145"/>
      <c r="D74" s="145"/>
      <c r="E74" s="146"/>
      <c r="N74" s="91"/>
      <c r="O74" s="142"/>
    </row>
    <row r="75" ht="13.5" customHeight="1">
      <c r="A75" s="143"/>
      <c r="B75" s="144"/>
      <c r="C75" s="145"/>
      <c r="D75" s="145"/>
      <c r="E75" s="146"/>
      <c r="N75" s="91"/>
      <c r="O75" s="142"/>
    </row>
    <row r="76" ht="13.5" customHeight="1">
      <c r="A76" s="143"/>
      <c r="B76" s="144"/>
      <c r="C76" s="145"/>
      <c r="D76" s="145"/>
      <c r="E76" s="146"/>
      <c r="N76" s="91"/>
      <c r="O76" s="142"/>
    </row>
    <row r="77" ht="13.5" customHeight="1">
      <c r="A77" s="143"/>
      <c r="B77" s="144"/>
      <c r="C77" s="145"/>
      <c r="D77" s="145"/>
      <c r="E77" s="146"/>
      <c r="N77" s="91"/>
      <c r="O77" s="142"/>
    </row>
    <row r="78" ht="13.5" customHeight="1">
      <c r="A78" s="143"/>
      <c r="B78" s="144"/>
      <c r="C78" s="145"/>
      <c r="D78" s="145"/>
      <c r="E78" s="146"/>
      <c r="N78" s="91"/>
      <c r="O78" s="142"/>
    </row>
    <row r="79" ht="13.5" customHeight="1">
      <c r="A79" s="143"/>
      <c r="B79" s="144"/>
      <c r="C79" s="145"/>
      <c r="D79" s="145"/>
      <c r="E79" s="146"/>
      <c r="N79" s="91"/>
      <c r="O79" s="142"/>
    </row>
    <row r="80" ht="13.5" customHeight="1">
      <c r="A80" s="143"/>
      <c r="B80" s="144"/>
      <c r="C80" s="145"/>
      <c r="D80" s="145"/>
      <c r="E80" s="146"/>
      <c r="N80" s="91"/>
      <c r="O80" s="142"/>
    </row>
    <row r="81" ht="13.5" customHeight="1">
      <c r="A81" s="143"/>
      <c r="B81" s="144"/>
      <c r="C81" s="145"/>
      <c r="D81" s="145"/>
      <c r="E81" s="146"/>
      <c r="N81" s="91"/>
      <c r="O81" s="142"/>
    </row>
    <row r="82" ht="13.5" customHeight="1">
      <c r="A82" s="143"/>
      <c r="B82" s="144"/>
      <c r="C82" s="145"/>
      <c r="D82" s="145"/>
      <c r="E82" s="146"/>
      <c r="N82" s="91"/>
      <c r="O82" s="142"/>
    </row>
    <row r="83" ht="13.5" customHeight="1">
      <c r="A83" s="143"/>
      <c r="B83" s="144"/>
      <c r="C83" s="145"/>
      <c r="D83" s="145"/>
      <c r="E83" s="146"/>
      <c r="N83" s="91"/>
      <c r="O83" s="142"/>
    </row>
    <row r="84" ht="13.5" customHeight="1">
      <c r="A84" s="143"/>
      <c r="B84" s="144"/>
      <c r="C84" s="145"/>
      <c r="D84" s="145"/>
      <c r="E84" s="146"/>
      <c r="N84" s="91"/>
      <c r="O84" s="142"/>
    </row>
    <row r="85" ht="13.5" customHeight="1">
      <c r="A85" s="143"/>
      <c r="B85" s="144"/>
      <c r="C85" s="145"/>
      <c r="D85" s="145"/>
      <c r="E85" s="146"/>
      <c r="N85" s="91"/>
      <c r="O85" s="142"/>
    </row>
    <row r="86" ht="13.5" customHeight="1">
      <c r="A86" s="143"/>
      <c r="B86" s="144"/>
      <c r="C86" s="145"/>
      <c r="D86" s="145"/>
      <c r="E86" s="146"/>
      <c r="N86" s="91"/>
      <c r="O86" s="142"/>
    </row>
    <row r="87" ht="13.5" customHeight="1">
      <c r="A87" s="143"/>
      <c r="B87" s="144"/>
      <c r="C87" s="145"/>
      <c r="D87" s="145"/>
      <c r="E87" s="146"/>
      <c r="N87" s="91"/>
      <c r="O87" s="142"/>
    </row>
    <row r="88" ht="13.5" customHeight="1">
      <c r="A88" s="143"/>
      <c r="B88" s="144"/>
      <c r="C88" s="145"/>
      <c r="D88" s="145"/>
      <c r="E88" s="146"/>
      <c r="N88" s="91"/>
      <c r="O88" s="142"/>
    </row>
    <row r="89" ht="13.5" customHeight="1">
      <c r="A89" s="143"/>
      <c r="B89" s="144"/>
      <c r="C89" s="145"/>
      <c r="D89" s="145"/>
      <c r="E89" s="146"/>
      <c r="N89" s="91"/>
      <c r="O89" s="142"/>
    </row>
    <row r="90" ht="13.5" customHeight="1">
      <c r="A90" s="143"/>
      <c r="B90" s="144"/>
      <c r="C90" s="145"/>
      <c r="D90" s="145"/>
      <c r="E90" s="146"/>
      <c r="N90" s="91"/>
      <c r="O90" s="142"/>
    </row>
    <row r="91" ht="13.5" customHeight="1">
      <c r="A91" s="143"/>
      <c r="B91" s="144"/>
      <c r="C91" s="145"/>
      <c r="D91" s="145"/>
      <c r="E91" s="146"/>
      <c r="N91" s="91"/>
      <c r="O91" s="142"/>
    </row>
    <row r="92" ht="13.5" customHeight="1">
      <c r="A92" s="143"/>
      <c r="B92" s="144"/>
      <c r="C92" s="145"/>
      <c r="D92" s="145"/>
      <c r="E92" s="146"/>
      <c r="N92" s="91"/>
      <c r="O92" s="142"/>
    </row>
    <row r="93" ht="13.5" customHeight="1">
      <c r="A93" s="143"/>
      <c r="B93" s="144"/>
      <c r="C93" s="145"/>
      <c r="D93" s="145"/>
      <c r="E93" s="146"/>
      <c r="N93" s="91"/>
      <c r="O93" s="142"/>
    </row>
    <row r="94" ht="13.5" customHeight="1">
      <c r="A94" s="143"/>
      <c r="B94" s="144"/>
      <c r="C94" s="145"/>
      <c r="D94" s="145"/>
      <c r="E94" s="146"/>
      <c r="N94" s="91"/>
      <c r="O94" s="142"/>
    </row>
    <row r="95" ht="13.5" customHeight="1">
      <c r="A95" s="143"/>
      <c r="B95" s="144"/>
      <c r="C95" s="145"/>
      <c r="D95" s="145"/>
      <c r="E95" s="146"/>
      <c r="N95" s="91"/>
      <c r="O95" s="142"/>
    </row>
    <row r="96" ht="13.5" customHeight="1">
      <c r="A96" s="143"/>
      <c r="B96" s="144"/>
      <c r="C96" s="145"/>
      <c r="D96" s="145"/>
      <c r="E96" s="146"/>
      <c r="N96" s="91"/>
      <c r="O96" s="142"/>
    </row>
    <row r="97" ht="13.5" customHeight="1">
      <c r="A97" s="143"/>
      <c r="B97" s="144"/>
      <c r="C97" s="145"/>
      <c r="D97" s="145"/>
      <c r="E97" s="146"/>
      <c r="N97" s="91"/>
      <c r="O97" s="142"/>
    </row>
    <row r="98" ht="13.5" customHeight="1">
      <c r="A98" s="143"/>
      <c r="B98" s="144"/>
      <c r="C98" s="145"/>
      <c r="D98" s="145"/>
      <c r="E98" s="146"/>
      <c r="N98" s="91"/>
      <c r="O98" s="142"/>
    </row>
    <row r="99" ht="13.5" customHeight="1">
      <c r="A99" s="143"/>
      <c r="B99" s="144"/>
      <c r="C99" s="145"/>
      <c r="D99" s="145"/>
      <c r="E99" s="146"/>
      <c r="N99" s="91"/>
      <c r="O99" s="142"/>
    </row>
    <row r="100" ht="13.5" customHeight="1">
      <c r="A100" s="143"/>
      <c r="B100" s="144"/>
      <c r="C100" s="145"/>
      <c r="D100" s="145"/>
      <c r="E100" s="146"/>
      <c r="N100" s="91"/>
      <c r="O100" s="142"/>
    </row>
    <row r="101" ht="13.5" customHeight="1">
      <c r="A101" s="143"/>
      <c r="B101" s="144"/>
      <c r="C101" s="145"/>
      <c r="D101" s="145"/>
      <c r="E101" s="146"/>
      <c r="N101" s="91"/>
      <c r="O101" s="142"/>
    </row>
    <row r="102" ht="13.5" customHeight="1">
      <c r="A102" s="143"/>
      <c r="B102" s="144"/>
      <c r="C102" s="145"/>
      <c r="D102" s="145"/>
      <c r="E102" s="146"/>
      <c r="N102" s="91"/>
      <c r="O102" s="142"/>
    </row>
    <row r="103" ht="13.5" customHeight="1">
      <c r="A103" s="143"/>
      <c r="B103" s="144"/>
      <c r="C103" s="145"/>
      <c r="D103" s="145"/>
      <c r="E103" s="146"/>
      <c r="N103" s="91"/>
      <c r="O103" s="142"/>
    </row>
    <row r="104" ht="13.5" customHeight="1">
      <c r="A104" s="143"/>
      <c r="B104" s="144"/>
      <c r="C104" s="145"/>
      <c r="D104" s="145"/>
      <c r="E104" s="146"/>
      <c r="N104" s="91"/>
      <c r="O104" s="142"/>
    </row>
    <row r="105" ht="13.5" customHeight="1">
      <c r="A105" s="143"/>
      <c r="B105" s="144"/>
      <c r="C105" s="145"/>
      <c r="D105" s="145"/>
      <c r="E105" s="146"/>
      <c r="N105" s="91"/>
      <c r="O105" s="142"/>
    </row>
    <row r="106" ht="13.5" customHeight="1">
      <c r="A106" s="143"/>
      <c r="B106" s="144"/>
      <c r="C106" s="145"/>
      <c r="D106" s="145"/>
      <c r="E106" s="146"/>
      <c r="N106" s="91"/>
      <c r="O106" s="142"/>
    </row>
    <row r="107" ht="13.5" customHeight="1">
      <c r="A107" s="143"/>
      <c r="B107" s="144"/>
      <c r="C107" s="145"/>
      <c r="D107" s="145"/>
      <c r="E107" s="146"/>
      <c r="N107" s="91"/>
      <c r="O107" s="142"/>
    </row>
    <row r="108" ht="13.5" customHeight="1">
      <c r="A108" s="143"/>
      <c r="B108" s="144"/>
      <c r="C108" s="145"/>
      <c r="D108" s="145"/>
      <c r="E108" s="146"/>
      <c r="N108" s="91"/>
      <c r="O108" s="142"/>
    </row>
    <row r="109" ht="13.5" customHeight="1">
      <c r="A109" s="143"/>
      <c r="B109" s="144"/>
      <c r="C109" s="145"/>
      <c r="D109" s="145"/>
      <c r="E109" s="146"/>
      <c r="N109" s="91"/>
      <c r="O109" s="142"/>
    </row>
    <row r="110" ht="13.5" customHeight="1">
      <c r="A110" s="143"/>
      <c r="B110" s="144"/>
      <c r="C110" s="145"/>
      <c r="D110" s="145"/>
      <c r="E110" s="146"/>
      <c r="N110" s="91"/>
      <c r="O110" s="142"/>
    </row>
    <row r="111" ht="13.5" customHeight="1">
      <c r="A111" s="143"/>
      <c r="B111" s="144"/>
      <c r="C111" s="145"/>
      <c r="D111" s="145"/>
      <c r="E111" s="146"/>
      <c r="N111" s="91"/>
      <c r="O111" s="142"/>
    </row>
    <row r="112" ht="13.5" customHeight="1">
      <c r="A112" s="143"/>
      <c r="B112" s="144"/>
      <c r="C112" s="145"/>
      <c r="D112" s="145"/>
      <c r="E112" s="146"/>
      <c r="N112" s="91"/>
      <c r="O112" s="142"/>
    </row>
    <row r="113" ht="13.5" customHeight="1">
      <c r="A113" s="143"/>
      <c r="B113" s="144"/>
      <c r="C113" s="145"/>
      <c r="D113" s="145"/>
      <c r="E113" s="146"/>
      <c r="N113" s="91"/>
      <c r="O113" s="142"/>
    </row>
    <row r="114" ht="13.5" customHeight="1">
      <c r="A114" s="143"/>
      <c r="B114" s="144"/>
      <c r="C114" s="145"/>
      <c r="D114" s="145"/>
      <c r="E114" s="146"/>
      <c r="N114" s="91"/>
      <c r="O114" s="142"/>
    </row>
    <row r="115" ht="13.5" customHeight="1">
      <c r="A115" s="143"/>
      <c r="B115" s="144"/>
      <c r="C115" s="145"/>
      <c r="D115" s="145"/>
      <c r="E115" s="146"/>
      <c r="N115" s="91"/>
      <c r="O115" s="142"/>
    </row>
    <row r="116" ht="13.5" customHeight="1">
      <c r="A116" s="143"/>
      <c r="B116" s="144"/>
      <c r="C116" s="145"/>
      <c r="D116" s="145"/>
      <c r="E116" s="146"/>
      <c r="N116" s="91"/>
      <c r="O116" s="142"/>
    </row>
    <row r="117" ht="13.5" customHeight="1">
      <c r="A117" s="143"/>
      <c r="B117" s="144"/>
      <c r="C117" s="145"/>
      <c r="D117" s="145"/>
      <c r="E117" s="146"/>
      <c r="N117" s="91"/>
      <c r="O117" s="142"/>
    </row>
    <row r="118" ht="13.5" customHeight="1">
      <c r="A118" s="143"/>
      <c r="B118" s="144"/>
      <c r="C118" s="145"/>
      <c r="D118" s="145"/>
      <c r="E118" s="146"/>
      <c r="N118" s="91"/>
      <c r="O118" s="142"/>
    </row>
    <row r="119" ht="13.5" customHeight="1">
      <c r="A119" s="143"/>
      <c r="B119" s="144"/>
      <c r="C119" s="145"/>
      <c r="D119" s="145"/>
      <c r="E119" s="146"/>
      <c r="N119" s="91"/>
      <c r="O119" s="142"/>
    </row>
    <row r="120" ht="13.5" customHeight="1">
      <c r="A120" s="143"/>
      <c r="B120" s="144"/>
      <c r="C120" s="145"/>
      <c r="D120" s="145"/>
      <c r="E120" s="146"/>
      <c r="N120" s="91"/>
      <c r="O120" s="142"/>
    </row>
    <row r="121" ht="13.5" customHeight="1">
      <c r="A121" s="143"/>
      <c r="B121" s="144"/>
      <c r="C121" s="145"/>
      <c r="D121" s="145"/>
      <c r="E121" s="146"/>
      <c r="N121" s="91"/>
      <c r="O121" s="142"/>
    </row>
    <row r="122" ht="13.5" customHeight="1">
      <c r="A122" s="143"/>
      <c r="B122" s="144"/>
      <c r="C122" s="145"/>
      <c r="D122" s="145"/>
      <c r="E122" s="146"/>
      <c r="N122" s="91"/>
      <c r="O122" s="142"/>
    </row>
    <row r="123" ht="13.5" customHeight="1">
      <c r="A123" s="143"/>
      <c r="B123" s="144"/>
      <c r="C123" s="145"/>
      <c r="D123" s="145"/>
      <c r="E123" s="146"/>
      <c r="N123" s="91"/>
      <c r="O123" s="142"/>
    </row>
    <row r="124" ht="13.5" customHeight="1">
      <c r="A124" s="143"/>
      <c r="B124" s="144"/>
      <c r="C124" s="145"/>
      <c r="D124" s="145"/>
      <c r="E124" s="146"/>
      <c r="N124" s="91"/>
      <c r="O124" s="142"/>
    </row>
    <row r="125" ht="13.5" customHeight="1">
      <c r="A125" s="143"/>
      <c r="B125" s="144"/>
      <c r="C125" s="145"/>
      <c r="D125" s="145"/>
      <c r="E125" s="146"/>
      <c r="N125" s="91"/>
      <c r="O125" s="142"/>
    </row>
    <row r="126" ht="13.5" customHeight="1">
      <c r="A126" s="143"/>
      <c r="B126" s="144"/>
      <c r="C126" s="145"/>
      <c r="D126" s="145"/>
      <c r="E126" s="146"/>
      <c r="N126" s="91"/>
      <c r="O126" s="142"/>
    </row>
    <row r="127" ht="13.5" customHeight="1">
      <c r="A127" s="143"/>
      <c r="B127" s="144"/>
      <c r="C127" s="145"/>
      <c r="D127" s="145"/>
      <c r="E127" s="146"/>
      <c r="N127" s="91"/>
      <c r="O127" s="142"/>
    </row>
    <row r="128" ht="13.5" customHeight="1">
      <c r="A128" s="143"/>
      <c r="B128" s="144"/>
      <c r="C128" s="145"/>
      <c r="D128" s="145"/>
      <c r="E128" s="146"/>
      <c r="N128" s="91"/>
      <c r="O128" s="142"/>
    </row>
    <row r="129" ht="13.5" customHeight="1">
      <c r="A129" s="143"/>
      <c r="B129" s="144"/>
      <c r="C129" s="145"/>
      <c r="D129" s="145"/>
      <c r="E129" s="146"/>
      <c r="N129" s="91"/>
      <c r="O129" s="142"/>
    </row>
    <row r="130" ht="13.5" customHeight="1">
      <c r="A130" s="143"/>
      <c r="B130" s="144"/>
      <c r="C130" s="145"/>
      <c r="D130" s="145"/>
      <c r="E130" s="146"/>
      <c r="N130" s="91"/>
      <c r="O130" s="142"/>
    </row>
    <row r="131" ht="13.5" customHeight="1">
      <c r="A131" s="143"/>
      <c r="B131" s="144"/>
      <c r="C131" s="145"/>
      <c r="D131" s="145"/>
      <c r="E131" s="146"/>
      <c r="N131" s="91"/>
      <c r="O131" s="142"/>
    </row>
    <row r="132" ht="13.5" customHeight="1">
      <c r="A132" s="143"/>
      <c r="B132" s="144"/>
      <c r="C132" s="145"/>
      <c r="D132" s="145"/>
      <c r="E132" s="146"/>
      <c r="N132" s="91"/>
      <c r="O132" s="142"/>
    </row>
    <row r="133" ht="13.5" customHeight="1">
      <c r="A133" s="143"/>
      <c r="B133" s="144"/>
      <c r="C133" s="145"/>
      <c r="D133" s="145"/>
      <c r="E133" s="146"/>
      <c r="N133" s="91"/>
      <c r="O133" s="142"/>
    </row>
    <row r="134" ht="13.5" customHeight="1">
      <c r="A134" s="143"/>
      <c r="B134" s="144"/>
      <c r="C134" s="145"/>
      <c r="D134" s="145"/>
      <c r="E134" s="146"/>
      <c r="N134" s="91"/>
      <c r="O134" s="142"/>
    </row>
    <row r="135" ht="13.5" customHeight="1">
      <c r="A135" s="143"/>
      <c r="B135" s="144"/>
      <c r="C135" s="145"/>
      <c r="D135" s="145"/>
      <c r="E135" s="146"/>
      <c r="N135" s="91"/>
      <c r="O135" s="142"/>
    </row>
    <row r="136" ht="13.5" customHeight="1">
      <c r="A136" s="143"/>
      <c r="B136" s="144"/>
      <c r="C136" s="145"/>
      <c r="D136" s="145"/>
      <c r="E136" s="146"/>
      <c r="N136" s="91"/>
      <c r="O136" s="142"/>
    </row>
    <row r="137" ht="13.5" customHeight="1">
      <c r="A137" s="143"/>
      <c r="B137" s="144"/>
      <c r="C137" s="145"/>
      <c r="D137" s="145"/>
      <c r="E137" s="146"/>
      <c r="N137" s="91"/>
      <c r="O137" s="142"/>
    </row>
    <row r="138" ht="13.5" customHeight="1">
      <c r="A138" s="143"/>
      <c r="B138" s="144"/>
      <c r="C138" s="145"/>
      <c r="D138" s="145"/>
      <c r="E138" s="146"/>
      <c r="N138" s="91"/>
      <c r="O138" s="142"/>
    </row>
    <row r="139" ht="13.5" customHeight="1">
      <c r="A139" s="143"/>
      <c r="B139" s="144"/>
      <c r="C139" s="145"/>
      <c r="D139" s="145"/>
      <c r="E139" s="146"/>
      <c r="N139" s="91"/>
      <c r="O139" s="142"/>
    </row>
    <row r="140" ht="13.5" customHeight="1">
      <c r="A140" s="143"/>
      <c r="B140" s="144"/>
      <c r="C140" s="145"/>
      <c r="D140" s="145"/>
      <c r="E140" s="146"/>
      <c r="N140" s="91"/>
      <c r="O140" s="142"/>
    </row>
    <row r="141" ht="13.5" customHeight="1">
      <c r="A141" s="143"/>
      <c r="B141" s="144"/>
      <c r="C141" s="145"/>
      <c r="D141" s="145"/>
      <c r="E141" s="146"/>
      <c r="N141" s="91"/>
      <c r="O141" s="142"/>
    </row>
    <row r="142" ht="13.5" customHeight="1">
      <c r="A142" s="143"/>
      <c r="B142" s="144"/>
      <c r="C142" s="145"/>
      <c r="D142" s="145"/>
      <c r="E142" s="146"/>
      <c r="N142" s="91"/>
      <c r="O142" s="142"/>
    </row>
    <row r="143" ht="13.5" customHeight="1">
      <c r="A143" s="143"/>
      <c r="B143" s="144"/>
      <c r="C143" s="145"/>
      <c r="D143" s="145"/>
      <c r="E143" s="146"/>
      <c r="N143" s="91"/>
      <c r="O143" s="142"/>
    </row>
    <row r="144" ht="13.5" customHeight="1">
      <c r="A144" s="143"/>
      <c r="B144" s="144"/>
      <c r="C144" s="145"/>
      <c r="D144" s="145"/>
      <c r="E144" s="146"/>
      <c r="N144" s="91"/>
      <c r="O144" s="142"/>
    </row>
    <row r="145" ht="13.5" customHeight="1">
      <c r="A145" s="143"/>
      <c r="B145" s="144"/>
      <c r="C145" s="145"/>
      <c r="D145" s="145"/>
      <c r="E145" s="146"/>
      <c r="N145" s="91"/>
      <c r="O145" s="142"/>
    </row>
    <row r="146" ht="13.5" customHeight="1">
      <c r="A146" s="143"/>
      <c r="B146" s="144"/>
      <c r="C146" s="145"/>
      <c r="D146" s="145"/>
      <c r="E146" s="146"/>
      <c r="N146" s="91"/>
      <c r="O146" s="142"/>
    </row>
    <row r="147" ht="13.5" customHeight="1">
      <c r="A147" s="143"/>
      <c r="B147" s="144"/>
      <c r="C147" s="145"/>
      <c r="D147" s="145"/>
      <c r="E147" s="146"/>
      <c r="N147" s="91"/>
      <c r="O147" s="142"/>
    </row>
    <row r="148" ht="13.5" customHeight="1">
      <c r="A148" s="143"/>
      <c r="B148" s="144"/>
      <c r="C148" s="145"/>
      <c r="D148" s="145"/>
      <c r="E148" s="146"/>
      <c r="N148" s="91"/>
      <c r="O148" s="142"/>
    </row>
    <row r="149" ht="13.5" customHeight="1">
      <c r="A149" s="143"/>
      <c r="B149" s="144"/>
      <c r="C149" s="145"/>
      <c r="D149" s="145"/>
      <c r="E149" s="146"/>
      <c r="N149" s="91"/>
      <c r="O149" s="142"/>
    </row>
    <row r="150" ht="13.5" customHeight="1">
      <c r="A150" s="143"/>
      <c r="B150" s="144"/>
      <c r="C150" s="145"/>
      <c r="D150" s="145"/>
      <c r="E150" s="146"/>
      <c r="N150" s="91"/>
      <c r="O150" s="142"/>
    </row>
    <row r="151" ht="13.5" customHeight="1">
      <c r="A151" s="143"/>
      <c r="B151" s="144"/>
      <c r="C151" s="145"/>
      <c r="D151" s="145"/>
      <c r="E151" s="146"/>
      <c r="N151" s="91"/>
      <c r="O151" s="142"/>
    </row>
    <row r="152" ht="13.5" customHeight="1">
      <c r="A152" s="143"/>
      <c r="B152" s="144"/>
      <c r="C152" s="145"/>
      <c r="D152" s="145"/>
      <c r="E152" s="146"/>
      <c r="N152" s="91"/>
      <c r="O152" s="142"/>
    </row>
    <row r="153" ht="13.5" customHeight="1">
      <c r="A153" s="143"/>
      <c r="B153" s="144"/>
      <c r="C153" s="145"/>
      <c r="D153" s="145"/>
      <c r="E153" s="146"/>
      <c r="N153" s="91"/>
      <c r="O153" s="142"/>
    </row>
    <row r="154" ht="13.5" customHeight="1">
      <c r="A154" s="143"/>
      <c r="B154" s="144"/>
      <c r="C154" s="145"/>
      <c r="D154" s="145"/>
      <c r="E154" s="146"/>
      <c r="N154" s="91"/>
      <c r="O154" s="142"/>
    </row>
    <row r="155" ht="13.5" customHeight="1">
      <c r="A155" s="143"/>
      <c r="B155" s="144"/>
      <c r="C155" s="145"/>
      <c r="D155" s="145"/>
      <c r="E155" s="146"/>
      <c r="N155" s="91"/>
      <c r="O155" s="142"/>
    </row>
    <row r="156" ht="13.5" customHeight="1">
      <c r="A156" s="143"/>
      <c r="B156" s="144"/>
      <c r="C156" s="145"/>
      <c r="D156" s="145"/>
      <c r="E156" s="146"/>
      <c r="N156" s="91"/>
      <c r="O156" s="142"/>
    </row>
    <row r="157" ht="13.5" customHeight="1">
      <c r="A157" s="143"/>
      <c r="B157" s="144"/>
      <c r="C157" s="145"/>
      <c r="D157" s="145"/>
      <c r="E157" s="146"/>
      <c r="N157" s="91"/>
      <c r="O157" s="142"/>
    </row>
    <row r="158" ht="13.5" customHeight="1">
      <c r="A158" s="143"/>
      <c r="B158" s="144"/>
      <c r="C158" s="145"/>
      <c r="D158" s="145"/>
      <c r="E158" s="146"/>
      <c r="N158" s="91"/>
      <c r="O158" s="142"/>
    </row>
    <row r="159" ht="13.5" customHeight="1">
      <c r="A159" s="143"/>
      <c r="B159" s="144"/>
      <c r="C159" s="145"/>
      <c r="D159" s="145"/>
      <c r="E159" s="146"/>
      <c r="N159" s="91"/>
      <c r="O159" s="142"/>
    </row>
    <row r="160" ht="13.5" customHeight="1">
      <c r="A160" s="143"/>
      <c r="B160" s="144"/>
      <c r="C160" s="145"/>
      <c r="D160" s="145"/>
      <c r="E160" s="146"/>
      <c r="N160" s="91"/>
      <c r="O160" s="142"/>
    </row>
    <row r="161" ht="13.5" customHeight="1">
      <c r="A161" s="143"/>
      <c r="B161" s="144"/>
      <c r="C161" s="145"/>
      <c r="D161" s="145"/>
      <c r="E161" s="146"/>
      <c r="N161" s="91"/>
      <c r="O161" s="142"/>
    </row>
    <row r="162" ht="13.5" customHeight="1">
      <c r="A162" s="143"/>
      <c r="B162" s="144"/>
      <c r="C162" s="145"/>
      <c r="D162" s="145"/>
      <c r="E162" s="146"/>
      <c r="N162" s="91"/>
      <c r="O162" s="142"/>
    </row>
    <row r="163" ht="13.5" customHeight="1">
      <c r="A163" s="143"/>
      <c r="B163" s="144"/>
      <c r="C163" s="145"/>
      <c r="D163" s="145"/>
      <c r="E163" s="146"/>
      <c r="N163" s="91"/>
      <c r="O163" s="142"/>
    </row>
    <row r="164" ht="13.5" customHeight="1">
      <c r="A164" s="143"/>
      <c r="B164" s="144"/>
      <c r="C164" s="145"/>
      <c r="D164" s="145"/>
      <c r="E164" s="146"/>
      <c r="N164" s="91"/>
      <c r="O164" s="142"/>
    </row>
    <row r="165" ht="13.5" customHeight="1">
      <c r="A165" s="143"/>
      <c r="B165" s="144"/>
      <c r="C165" s="145"/>
      <c r="D165" s="145"/>
      <c r="E165" s="146"/>
      <c r="N165" s="91"/>
      <c r="O165" s="142"/>
    </row>
    <row r="166" ht="13.5" customHeight="1">
      <c r="A166" s="143"/>
      <c r="B166" s="144"/>
      <c r="C166" s="145"/>
      <c r="D166" s="145"/>
      <c r="E166" s="146"/>
      <c r="N166" s="91"/>
      <c r="O166" s="142"/>
    </row>
    <row r="167" ht="13.5" customHeight="1">
      <c r="A167" s="143"/>
      <c r="B167" s="144"/>
      <c r="C167" s="145"/>
      <c r="D167" s="145"/>
      <c r="E167" s="146"/>
      <c r="N167" s="91"/>
      <c r="O167" s="142"/>
    </row>
    <row r="168" ht="13.5" customHeight="1">
      <c r="A168" s="143"/>
      <c r="B168" s="144"/>
      <c r="C168" s="145"/>
      <c r="D168" s="145"/>
      <c r="E168" s="146"/>
      <c r="N168" s="91"/>
      <c r="O168" s="142"/>
    </row>
    <row r="169" ht="13.5" customHeight="1">
      <c r="A169" s="143"/>
      <c r="B169" s="144"/>
      <c r="C169" s="145"/>
      <c r="D169" s="145"/>
      <c r="E169" s="146"/>
      <c r="N169" s="91"/>
      <c r="O169" s="142"/>
    </row>
    <row r="170" ht="13.5" customHeight="1">
      <c r="A170" s="143"/>
      <c r="B170" s="144"/>
      <c r="C170" s="145"/>
      <c r="D170" s="145"/>
      <c r="E170" s="146"/>
      <c r="N170" s="91"/>
      <c r="O170" s="142"/>
    </row>
    <row r="171" ht="13.5" customHeight="1">
      <c r="A171" s="143"/>
      <c r="B171" s="144"/>
      <c r="C171" s="145"/>
      <c r="D171" s="145"/>
      <c r="E171" s="146"/>
      <c r="N171" s="91"/>
      <c r="O171" s="142"/>
    </row>
    <row r="172" ht="13.5" customHeight="1">
      <c r="A172" s="143"/>
      <c r="B172" s="144"/>
      <c r="C172" s="145"/>
      <c r="D172" s="145"/>
      <c r="E172" s="146"/>
      <c r="N172" s="91"/>
      <c r="O172" s="142"/>
    </row>
    <row r="173" ht="13.5" customHeight="1">
      <c r="A173" s="143"/>
      <c r="B173" s="144"/>
      <c r="C173" s="145"/>
      <c r="D173" s="145"/>
      <c r="E173" s="146"/>
      <c r="N173" s="91"/>
      <c r="O173" s="142"/>
    </row>
    <row r="174" ht="13.5" customHeight="1">
      <c r="A174" s="143"/>
      <c r="B174" s="144"/>
      <c r="C174" s="145"/>
      <c r="D174" s="145"/>
      <c r="E174" s="146"/>
      <c r="N174" s="91"/>
      <c r="O174" s="142"/>
    </row>
    <row r="175" ht="13.5" customHeight="1">
      <c r="A175" s="143"/>
      <c r="B175" s="144"/>
      <c r="C175" s="145"/>
      <c r="D175" s="145"/>
      <c r="E175" s="146"/>
      <c r="N175" s="91"/>
      <c r="O175" s="142"/>
    </row>
    <row r="176" ht="13.5" customHeight="1">
      <c r="A176" s="143"/>
      <c r="B176" s="144"/>
      <c r="C176" s="145"/>
      <c r="D176" s="145"/>
      <c r="E176" s="146"/>
      <c r="N176" s="91"/>
      <c r="O176" s="142"/>
    </row>
    <row r="177" ht="13.5" customHeight="1">
      <c r="A177" s="143"/>
      <c r="B177" s="144"/>
      <c r="C177" s="145"/>
      <c r="D177" s="145"/>
      <c r="E177" s="146"/>
      <c r="N177" s="91"/>
      <c r="O177" s="142"/>
    </row>
    <row r="178" ht="13.5" customHeight="1">
      <c r="A178" s="143"/>
      <c r="B178" s="144"/>
      <c r="C178" s="145"/>
      <c r="D178" s="145"/>
      <c r="E178" s="146"/>
      <c r="N178" s="91"/>
      <c r="O178" s="142"/>
    </row>
    <row r="179" ht="13.5" customHeight="1">
      <c r="A179" s="143"/>
      <c r="B179" s="144"/>
      <c r="C179" s="145"/>
      <c r="D179" s="145"/>
      <c r="E179" s="146"/>
      <c r="N179" s="91"/>
      <c r="O179" s="142"/>
    </row>
    <row r="180" ht="13.5" customHeight="1">
      <c r="A180" s="143"/>
      <c r="B180" s="144"/>
      <c r="C180" s="145"/>
      <c r="D180" s="145"/>
      <c r="E180" s="146"/>
      <c r="N180" s="91"/>
      <c r="O180" s="142"/>
    </row>
    <row r="181" ht="13.5" customHeight="1">
      <c r="A181" s="143"/>
      <c r="B181" s="144"/>
      <c r="C181" s="145"/>
      <c r="D181" s="145"/>
      <c r="E181" s="146"/>
      <c r="N181" s="91"/>
      <c r="O181" s="142"/>
    </row>
    <row r="182" ht="13.5" customHeight="1">
      <c r="A182" s="143"/>
      <c r="B182" s="144"/>
      <c r="C182" s="145"/>
      <c r="D182" s="145"/>
      <c r="E182" s="146"/>
      <c r="N182" s="91"/>
      <c r="O182" s="142"/>
    </row>
    <row r="183" ht="13.5" customHeight="1">
      <c r="A183" s="143"/>
      <c r="B183" s="144"/>
      <c r="C183" s="145"/>
      <c r="D183" s="145"/>
      <c r="E183" s="146"/>
      <c r="N183" s="91"/>
      <c r="O183" s="142"/>
    </row>
    <row r="184" ht="13.5" customHeight="1">
      <c r="A184" s="143"/>
      <c r="B184" s="144"/>
      <c r="C184" s="145"/>
      <c r="D184" s="145"/>
      <c r="E184" s="146"/>
      <c r="N184" s="91"/>
      <c r="O184" s="142"/>
    </row>
    <row r="185" ht="13.5" customHeight="1">
      <c r="A185" s="143"/>
      <c r="B185" s="144"/>
      <c r="C185" s="145"/>
      <c r="D185" s="145"/>
      <c r="E185" s="146"/>
      <c r="N185" s="91"/>
      <c r="O185" s="142"/>
    </row>
    <row r="186" ht="13.5" customHeight="1">
      <c r="A186" s="143"/>
      <c r="B186" s="144"/>
      <c r="C186" s="145"/>
      <c r="D186" s="145"/>
      <c r="E186" s="146"/>
      <c r="N186" s="91"/>
      <c r="O186" s="142"/>
    </row>
    <row r="187" ht="13.5" customHeight="1">
      <c r="A187" s="143"/>
      <c r="B187" s="144"/>
      <c r="C187" s="145"/>
      <c r="D187" s="145"/>
      <c r="E187" s="146"/>
      <c r="N187" s="91"/>
      <c r="O187" s="142"/>
    </row>
    <row r="188" ht="13.5" customHeight="1">
      <c r="A188" s="143"/>
      <c r="B188" s="144"/>
      <c r="C188" s="145"/>
      <c r="D188" s="145"/>
      <c r="E188" s="146"/>
      <c r="N188" s="91"/>
      <c r="O188" s="142"/>
    </row>
    <row r="189" ht="13.5" customHeight="1">
      <c r="A189" s="143"/>
      <c r="B189" s="144"/>
      <c r="C189" s="145"/>
      <c r="D189" s="145"/>
      <c r="E189" s="146"/>
      <c r="N189" s="91"/>
      <c r="O189" s="142"/>
    </row>
    <row r="190" ht="13.5" customHeight="1">
      <c r="A190" s="143"/>
      <c r="B190" s="144"/>
      <c r="C190" s="145"/>
      <c r="D190" s="145"/>
      <c r="E190" s="146"/>
      <c r="N190" s="91"/>
      <c r="O190" s="142"/>
    </row>
    <row r="191" ht="13.5" customHeight="1">
      <c r="A191" s="143"/>
      <c r="B191" s="144"/>
      <c r="C191" s="145"/>
      <c r="D191" s="145"/>
      <c r="E191" s="146"/>
      <c r="N191" s="91"/>
      <c r="O191" s="142"/>
    </row>
    <row r="192" ht="13.5" customHeight="1">
      <c r="A192" s="143"/>
      <c r="B192" s="144"/>
      <c r="C192" s="145"/>
      <c r="D192" s="145"/>
      <c r="E192" s="146"/>
      <c r="N192" s="91"/>
      <c r="O192" s="142"/>
    </row>
    <row r="193" ht="13.5" customHeight="1">
      <c r="A193" s="143"/>
      <c r="B193" s="144"/>
      <c r="C193" s="145"/>
      <c r="D193" s="145"/>
      <c r="E193" s="146"/>
      <c r="N193" s="91"/>
      <c r="O193" s="142"/>
    </row>
    <row r="194" ht="13.5" customHeight="1">
      <c r="A194" s="143"/>
      <c r="B194" s="144"/>
      <c r="C194" s="145"/>
      <c r="D194" s="145"/>
      <c r="E194" s="146"/>
      <c r="N194" s="91"/>
      <c r="O194" s="142"/>
    </row>
    <row r="195" ht="13.5" customHeight="1">
      <c r="A195" s="143"/>
      <c r="B195" s="144"/>
      <c r="C195" s="145"/>
      <c r="D195" s="145"/>
      <c r="E195" s="146"/>
      <c r="N195" s="91"/>
      <c r="O195" s="142"/>
    </row>
    <row r="196" ht="13.5" customHeight="1">
      <c r="A196" s="143"/>
      <c r="B196" s="144"/>
      <c r="C196" s="145"/>
      <c r="D196" s="145"/>
      <c r="E196" s="146"/>
      <c r="N196" s="91"/>
      <c r="O196" s="142"/>
    </row>
    <row r="197" ht="13.5" customHeight="1">
      <c r="A197" s="143"/>
      <c r="B197" s="144"/>
      <c r="C197" s="145"/>
      <c r="D197" s="145"/>
      <c r="E197" s="146"/>
      <c r="N197" s="91"/>
      <c r="O197" s="142"/>
    </row>
    <row r="198" ht="13.5" customHeight="1">
      <c r="A198" s="143"/>
      <c r="B198" s="144"/>
      <c r="C198" s="145"/>
      <c r="D198" s="145"/>
      <c r="E198" s="146"/>
      <c r="N198" s="91"/>
      <c r="O198" s="142"/>
    </row>
    <row r="199" ht="13.5" customHeight="1">
      <c r="A199" s="143"/>
      <c r="B199" s="144"/>
      <c r="C199" s="145"/>
      <c r="D199" s="145"/>
      <c r="E199" s="146"/>
      <c r="N199" s="91"/>
      <c r="O199" s="142"/>
    </row>
    <row r="200" ht="13.5" customHeight="1">
      <c r="A200" s="143"/>
      <c r="B200" s="144"/>
      <c r="C200" s="145"/>
      <c r="D200" s="145"/>
      <c r="E200" s="146"/>
      <c r="N200" s="91"/>
      <c r="O200" s="142"/>
    </row>
    <row r="201" ht="13.5" customHeight="1">
      <c r="A201" s="143"/>
      <c r="B201" s="144"/>
      <c r="C201" s="145"/>
      <c r="D201" s="145"/>
      <c r="E201" s="146"/>
      <c r="N201" s="91"/>
      <c r="O201" s="142"/>
    </row>
    <row r="202" ht="13.5" customHeight="1">
      <c r="A202" s="143"/>
      <c r="B202" s="144"/>
      <c r="C202" s="145"/>
      <c r="D202" s="145"/>
      <c r="E202" s="146"/>
      <c r="N202" s="91"/>
      <c r="O202" s="142"/>
    </row>
    <row r="203" ht="13.5" customHeight="1">
      <c r="A203" s="143"/>
      <c r="B203" s="144"/>
      <c r="C203" s="145"/>
      <c r="D203" s="145"/>
      <c r="E203" s="146"/>
      <c r="N203" s="91"/>
      <c r="O203" s="142"/>
    </row>
    <row r="204" ht="13.5" customHeight="1">
      <c r="A204" s="143"/>
      <c r="B204" s="144"/>
      <c r="C204" s="145"/>
      <c r="D204" s="145"/>
      <c r="E204" s="146"/>
      <c r="N204" s="91"/>
      <c r="O204" s="142"/>
    </row>
    <row r="205" ht="13.5" customHeight="1">
      <c r="A205" s="143"/>
      <c r="B205" s="144"/>
      <c r="C205" s="145"/>
      <c r="D205" s="145"/>
      <c r="E205" s="146"/>
      <c r="N205" s="91"/>
      <c r="O205" s="142"/>
    </row>
    <row r="206" ht="13.5" customHeight="1">
      <c r="A206" s="143"/>
      <c r="B206" s="144"/>
      <c r="C206" s="145"/>
      <c r="D206" s="145"/>
      <c r="E206" s="146"/>
      <c r="N206" s="91"/>
      <c r="O206" s="142"/>
    </row>
    <row r="207" ht="13.5" customHeight="1">
      <c r="A207" s="143"/>
      <c r="B207" s="144"/>
      <c r="C207" s="145"/>
      <c r="D207" s="145"/>
      <c r="E207" s="146"/>
      <c r="N207" s="91"/>
      <c r="O207" s="142"/>
    </row>
    <row r="208" ht="13.5" customHeight="1">
      <c r="A208" s="143"/>
      <c r="B208" s="144"/>
      <c r="C208" s="145"/>
      <c r="D208" s="145"/>
      <c r="E208" s="146"/>
      <c r="N208" s="91"/>
      <c r="O208" s="142"/>
    </row>
    <row r="209" ht="13.5" customHeight="1">
      <c r="A209" s="143"/>
      <c r="B209" s="144"/>
      <c r="C209" s="145"/>
      <c r="D209" s="145"/>
      <c r="E209" s="146"/>
      <c r="N209" s="91"/>
      <c r="O209" s="142"/>
    </row>
    <row r="210" ht="13.5" customHeight="1">
      <c r="A210" s="143"/>
      <c r="B210" s="144"/>
      <c r="C210" s="145"/>
      <c r="D210" s="145"/>
      <c r="E210" s="146"/>
      <c r="N210" s="91"/>
      <c r="O210" s="142"/>
    </row>
    <row r="211" ht="13.5" customHeight="1">
      <c r="A211" s="143"/>
      <c r="B211" s="144"/>
      <c r="C211" s="145"/>
      <c r="D211" s="145"/>
      <c r="E211" s="146"/>
      <c r="N211" s="91"/>
      <c r="O211" s="142"/>
    </row>
    <row r="212" ht="13.5" customHeight="1">
      <c r="A212" s="143"/>
      <c r="B212" s="144"/>
      <c r="C212" s="145"/>
      <c r="D212" s="145"/>
      <c r="E212" s="146"/>
      <c r="N212" s="91"/>
      <c r="O212" s="142"/>
    </row>
    <row r="213" ht="13.5" customHeight="1">
      <c r="A213" s="143"/>
      <c r="B213" s="144"/>
      <c r="C213" s="145"/>
      <c r="D213" s="145"/>
      <c r="E213" s="146"/>
      <c r="N213" s="91"/>
      <c r="O213" s="142"/>
    </row>
    <row r="214" ht="13.5" customHeight="1">
      <c r="A214" s="143"/>
      <c r="B214" s="144"/>
      <c r="C214" s="145"/>
      <c r="D214" s="145"/>
      <c r="E214" s="146"/>
      <c r="N214" s="91"/>
      <c r="O214" s="142"/>
    </row>
    <row r="215" ht="13.5" customHeight="1">
      <c r="A215" s="143"/>
      <c r="B215" s="144"/>
      <c r="C215" s="145"/>
      <c r="D215" s="145"/>
      <c r="E215" s="146"/>
      <c r="N215" s="91"/>
      <c r="O215" s="142"/>
    </row>
    <row r="216" ht="13.5" customHeight="1">
      <c r="A216" s="143"/>
      <c r="B216" s="144"/>
      <c r="C216" s="145"/>
      <c r="D216" s="145"/>
      <c r="E216" s="146"/>
      <c r="N216" s="91"/>
      <c r="O216" s="142"/>
    </row>
    <row r="217" ht="13.5" customHeight="1">
      <c r="A217" s="143"/>
      <c r="B217" s="144"/>
      <c r="C217" s="145"/>
      <c r="D217" s="145"/>
      <c r="E217" s="146"/>
      <c r="N217" s="91"/>
      <c r="O217" s="142"/>
    </row>
    <row r="218" ht="13.5" customHeight="1">
      <c r="A218" s="143"/>
      <c r="B218" s="144"/>
      <c r="C218" s="145"/>
      <c r="D218" s="145"/>
      <c r="E218" s="146"/>
      <c r="N218" s="91"/>
      <c r="O218" s="142"/>
    </row>
    <row r="219" ht="13.5" customHeight="1">
      <c r="A219" s="143"/>
      <c r="B219" s="144"/>
      <c r="C219" s="145"/>
      <c r="D219" s="145"/>
      <c r="E219" s="146"/>
      <c r="N219" s="91"/>
      <c r="O219" s="142"/>
    </row>
    <row r="220" ht="13.5" customHeight="1">
      <c r="A220" s="143"/>
      <c r="B220" s="144"/>
      <c r="C220" s="145"/>
      <c r="D220" s="145"/>
      <c r="E220" s="146"/>
      <c r="N220" s="91"/>
      <c r="O220" s="142"/>
    </row>
    <row r="221" ht="13.5" customHeight="1">
      <c r="A221" s="143"/>
      <c r="B221" s="144"/>
      <c r="C221" s="145"/>
      <c r="D221" s="145"/>
      <c r="E221" s="146"/>
      <c r="N221" s="91"/>
      <c r="O221" s="142"/>
    </row>
    <row r="222" ht="13.5" customHeight="1">
      <c r="A222" s="143"/>
      <c r="B222" s="144"/>
      <c r="C222" s="145"/>
      <c r="D222" s="145"/>
      <c r="E222" s="146"/>
      <c r="N222" s="91"/>
      <c r="O222" s="142"/>
    </row>
    <row r="223" ht="13.5" customHeight="1">
      <c r="A223" s="143"/>
      <c r="B223" s="144"/>
      <c r="C223" s="145"/>
      <c r="D223" s="145"/>
      <c r="E223" s="146"/>
      <c r="N223" s="91"/>
      <c r="O223" s="142"/>
    </row>
    <row r="224" ht="13.5" customHeight="1">
      <c r="A224" s="143"/>
      <c r="B224" s="144"/>
      <c r="C224" s="145"/>
      <c r="D224" s="145"/>
      <c r="E224" s="146"/>
      <c r="N224" s="91"/>
      <c r="O224" s="142"/>
    </row>
    <row r="225" ht="13.5" customHeight="1">
      <c r="A225" s="143"/>
      <c r="B225" s="144"/>
      <c r="C225" s="145"/>
      <c r="D225" s="145"/>
      <c r="E225" s="146"/>
      <c r="N225" s="91"/>
      <c r="O225" s="142"/>
    </row>
    <row r="226" ht="13.5" customHeight="1">
      <c r="A226" s="143"/>
      <c r="B226" s="144"/>
      <c r="C226" s="145"/>
      <c r="D226" s="145"/>
      <c r="E226" s="146"/>
      <c r="N226" s="91"/>
      <c r="O226" s="142"/>
    </row>
    <row r="227" ht="13.5" customHeight="1">
      <c r="A227" s="143"/>
      <c r="B227" s="144"/>
      <c r="C227" s="145"/>
      <c r="D227" s="145"/>
      <c r="E227" s="146"/>
      <c r="N227" s="91"/>
      <c r="O227" s="142"/>
    </row>
    <row r="228" ht="13.5" customHeight="1">
      <c r="A228" s="143"/>
      <c r="B228" s="144"/>
      <c r="C228" s="145"/>
      <c r="D228" s="145"/>
      <c r="E228" s="146"/>
      <c r="N228" s="91"/>
      <c r="O228" s="142"/>
    </row>
    <row r="229" ht="13.5" customHeight="1">
      <c r="A229" s="143"/>
      <c r="B229" s="144"/>
      <c r="C229" s="145"/>
      <c r="D229" s="145"/>
      <c r="E229" s="146"/>
      <c r="N229" s="91"/>
      <c r="O229" s="142"/>
    </row>
    <row r="230" ht="13.5" customHeight="1">
      <c r="A230" s="143"/>
      <c r="B230" s="144"/>
      <c r="C230" s="145"/>
      <c r="D230" s="145"/>
      <c r="E230" s="146"/>
      <c r="N230" s="91"/>
      <c r="O230" s="142"/>
    </row>
    <row r="231" ht="13.5" customHeight="1">
      <c r="A231" s="143"/>
      <c r="B231" s="144"/>
      <c r="C231" s="145"/>
      <c r="D231" s="145"/>
      <c r="E231" s="146"/>
      <c r="N231" s="91"/>
      <c r="O231" s="142"/>
    </row>
    <row r="232" ht="13.5" customHeight="1">
      <c r="A232" s="143"/>
      <c r="B232" s="144"/>
      <c r="C232" s="145"/>
      <c r="D232" s="145"/>
      <c r="E232" s="146"/>
      <c r="N232" s="91"/>
      <c r="O232" s="142"/>
    </row>
    <row r="233" ht="13.5" customHeight="1">
      <c r="A233" s="143"/>
      <c r="B233" s="144"/>
      <c r="C233" s="145"/>
      <c r="D233" s="145"/>
      <c r="E233" s="146"/>
      <c r="N233" s="91"/>
      <c r="O233" s="142"/>
    </row>
    <row r="234" ht="13.5" customHeight="1">
      <c r="A234" s="143"/>
      <c r="B234" s="144"/>
      <c r="C234" s="145"/>
      <c r="D234" s="145"/>
      <c r="E234" s="146"/>
      <c r="N234" s="91"/>
      <c r="O234" s="142"/>
    </row>
    <row r="235" ht="13.5" customHeight="1">
      <c r="A235" s="143"/>
      <c r="B235" s="144"/>
      <c r="C235" s="145"/>
      <c r="D235" s="145"/>
      <c r="E235" s="146"/>
      <c r="N235" s="91"/>
      <c r="O235" s="142"/>
    </row>
    <row r="236" ht="13.5" customHeight="1">
      <c r="A236" s="143"/>
      <c r="B236" s="144"/>
      <c r="C236" s="145"/>
      <c r="D236" s="145"/>
      <c r="E236" s="146"/>
      <c r="N236" s="91"/>
      <c r="O236" s="142"/>
    </row>
    <row r="237" ht="13.5" customHeight="1">
      <c r="A237" s="143"/>
      <c r="B237" s="144"/>
      <c r="C237" s="145"/>
      <c r="D237" s="145"/>
      <c r="E237" s="146"/>
      <c r="N237" s="91"/>
      <c r="O237" s="142"/>
    </row>
    <row r="238" ht="13.5" customHeight="1">
      <c r="A238" s="143"/>
      <c r="B238" s="144"/>
      <c r="C238" s="145"/>
      <c r="D238" s="145"/>
      <c r="E238" s="146"/>
      <c r="N238" s="91"/>
      <c r="O238" s="142"/>
    </row>
    <row r="239" ht="13.5" customHeight="1">
      <c r="A239" s="143"/>
      <c r="B239" s="144"/>
      <c r="C239" s="145"/>
      <c r="D239" s="145"/>
      <c r="E239" s="146"/>
      <c r="N239" s="91"/>
      <c r="O239" s="142"/>
    </row>
    <row r="240" ht="13.5" customHeight="1">
      <c r="A240" s="143"/>
      <c r="B240" s="144"/>
      <c r="C240" s="145"/>
      <c r="D240" s="145"/>
      <c r="E240" s="146"/>
      <c r="N240" s="91"/>
      <c r="O240" s="142"/>
    </row>
    <row r="241" ht="13.5" customHeight="1">
      <c r="A241" s="143"/>
      <c r="B241" s="144"/>
      <c r="C241" s="145"/>
      <c r="D241" s="145"/>
      <c r="E241" s="146"/>
      <c r="N241" s="91"/>
      <c r="O241" s="142"/>
    </row>
    <row r="242" ht="13.5" customHeight="1">
      <c r="A242" s="143"/>
      <c r="B242" s="144"/>
      <c r="C242" s="145"/>
      <c r="D242" s="145"/>
      <c r="E242" s="146"/>
      <c r="N242" s="91"/>
      <c r="O242" s="142"/>
    </row>
    <row r="243" ht="13.5" customHeight="1">
      <c r="A243" s="143"/>
      <c r="B243" s="144"/>
      <c r="C243" s="145"/>
      <c r="D243" s="145"/>
      <c r="E243" s="146"/>
      <c r="N243" s="91"/>
      <c r="O243" s="142"/>
    </row>
    <row r="244" ht="13.5" customHeight="1">
      <c r="A244" s="143"/>
      <c r="B244" s="144"/>
      <c r="C244" s="145"/>
      <c r="D244" s="145"/>
      <c r="E244" s="146"/>
      <c r="N244" s="91"/>
      <c r="O244" s="142"/>
    </row>
    <row r="245" ht="13.5" customHeight="1">
      <c r="A245" s="143"/>
      <c r="B245" s="144"/>
      <c r="C245" s="145"/>
      <c r="D245" s="145"/>
      <c r="E245" s="146"/>
      <c r="N245" s="91"/>
      <c r="O245" s="142"/>
    </row>
    <row r="246" ht="13.5" customHeight="1">
      <c r="A246" s="143"/>
      <c r="B246" s="144"/>
      <c r="C246" s="145"/>
      <c r="D246" s="145"/>
      <c r="E246" s="146"/>
      <c r="N246" s="91"/>
      <c r="O246" s="142"/>
    </row>
    <row r="247" ht="13.5" customHeight="1">
      <c r="A247" s="143"/>
      <c r="B247" s="144"/>
      <c r="C247" s="145"/>
      <c r="D247" s="145"/>
      <c r="E247" s="146"/>
      <c r="N247" s="91"/>
      <c r="O247" s="142"/>
    </row>
    <row r="248" ht="13.5" customHeight="1">
      <c r="A248" s="143"/>
      <c r="B248" s="144"/>
      <c r="C248" s="145"/>
      <c r="D248" s="145"/>
      <c r="E248" s="146"/>
      <c r="N248" s="91"/>
      <c r="O248" s="142"/>
    </row>
    <row r="249" ht="13.5" customHeight="1">
      <c r="A249" s="143"/>
      <c r="B249" s="144"/>
      <c r="C249" s="145"/>
      <c r="D249" s="145"/>
      <c r="E249" s="146"/>
      <c r="N249" s="91"/>
      <c r="O249" s="142"/>
    </row>
    <row r="250" ht="13.5" customHeight="1">
      <c r="A250" s="143"/>
      <c r="B250" s="144"/>
      <c r="C250" s="145"/>
      <c r="D250" s="145"/>
      <c r="E250" s="146"/>
      <c r="N250" s="91"/>
      <c r="O250" s="142"/>
    </row>
    <row r="251" ht="13.5" customHeight="1">
      <c r="A251" s="143"/>
      <c r="B251" s="144"/>
      <c r="C251" s="145"/>
      <c r="D251" s="145"/>
      <c r="E251" s="146"/>
      <c r="N251" s="91"/>
      <c r="O251" s="142"/>
    </row>
    <row r="252" ht="13.5" customHeight="1">
      <c r="A252" s="143"/>
      <c r="B252" s="144"/>
      <c r="C252" s="145"/>
      <c r="D252" s="145"/>
      <c r="E252" s="146"/>
      <c r="N252" s="91"/>
      <c r="O252" s="142"/>
    </row>
    <row r="253" ht="13.5" customHeight="1">
      <c r="A253" s="143"/>
      <c r="B253" s="144"/>
      <c r="C253" s="145"/>
      <c r="D253" s="145"/>
      <c r="E253" s="146"/>
      <c r="N253" s="91"/>
      <c r="O253" s="142"/>
    </row>
    <row r="254" ht="13.5" customHeight="1">
      <c r="A254" s="143"/>
      <c r="B254" s="144"/>
      <c r="C254" s="145"/>
      <c r="D254" s="145"/>
      <c r="E254" s="146"/>
      <c r="N254" s="91"/>
      <c r="O254" s="142"/>
    </row>
    <row r="255" ht="13.5" customHeight="1">
      <c r="A255" s="143"/>
      <c r="B255" s="144"/>
      <c r="C255" s="145"/>
      <c r="D255" s="145"/>
      <c r="E255" s="146"/>
      <c r="N255" s="91"/>
      <c r="O255" s="142"/>
    </row>
    <row r="256" ht="13.5" customHeight="1">
      <c r="A256" s="143"/>
      <c r="B256" s="144"/>
      <c r="C256" s="145"/>
      <c r="D256" s="145"/>
      <c r="E256" s="146"/>
      <c r="N256" s="91"/>
      <c r="O256" s="142"/>
    </row>
    <row r="257" ht="13.5" customHeight="1">
      <c r="A257" s="143"/>
      <c r="B257" s="144"/>
      <c r="C257" s="145"/>
      <c r="D257" s="145"/>
      <c r="E257" s="146"/>
      <c r="N257" s="91"/>
      <c r="O257" s="142"/>
    </row>
    <row r="258" ht="13.5" customHeight="1">
      <c r="A258" s="143"/>
      <c r="B258" s="144"/>
      <c r="C258" s="145"/>
      <c r="D258" s="145"/>
      <c r="E258" s="146"/>
      <c r="N258" s="91"/>
      <c r="O258" s="142"/>
    </row>
    <row r="259" ht="13.5" customHeight="1">
      <c r="A259" s="143"/>
      <c r="B259" s="144"/>
      <c r="C259" s="145"/>
      <c r="D259" s="145"/>
      <c r="E259" s="146"/>
      <c r="N259" s="91"/>
      <c r="O259" s="142"/>
    </row>
    <row r="260" ht="13.5" customHeight="1">
      <c r="A260" s="143"/>
      <c r="B260" s="144"/>
      <c r="C260" s="145"/>
      <c r="D260" s="145"/>
      <c r="E260" s="146"/>
      <c r="N260" s="91"/>
      <c r="O260" s="142"/>
    </row>
    <row r="261" ht="13.5" customHeight="1">
      <c r="A261" s="143"/>
      <c r="B261" s="144"/>
      <c r="C261" s="145"/>
      <c r="D261" s="145"/>
      <c r="E261" s="146"/>
      <c r="N261" s="91"/>
      <c r="O261" s="142"/>
    </row>
    <row r="262" ht="13.5" customHeight="1">
      <c r="A262" s="143"/>
      <c r="B262" s="144"/>
      <c r="C262" s="145"/>
      <c r="D262" s="145"/>
      <c r="E262" s="146"/>
      <c r="N262" s="91"/>
      <c r="O262" s="142"/>
    </row>
    <row r="263" ht="13.5" customHeight="1">
      <c r="A263" s="143"/>
      <c r="B263" s="144"/>
      <c r="C263" s="145"/>
      <c r="D263" s="145"/>
      <c r="E263" s="146"/>
      <c r="N263" s="91"/>
      <c r="O263" s="142"/>
    </row>
    <row r="264" ht="13.5" customHeight="1">
      <c r="A264" s="143"/>
      <c r="B264" s="144"/>
      <c r="C264" s="145"/>
      <c r="D264" s="145"/>
      <c r="E264" s="146"/>
      <c r="N264" s="91"/>
      <c r="O264" s="142"/>
    </row>
    <row r="265" ht="13.5" customHeight="1">
      <c r="A265" s="143"/>
      <c r="B265" s="144"/>
      <c r="C265" s="145"/>
      <c r="D265" s="145"/>
      <c r="E265" s="146"/>
      <c r="N265" s="91"/>
      <c r="O265" s="142"/>
    </row>
    <row r="266" ht="13.5" customHeight="1">
      <c r="A266" s="143"/>
      <c r="B266" s="144"/>
      <c r="C266" s="145"/>
      <c r="D266" s="145"/>
      <c r="E266" s="146"/>
      <c r="N266" s="91"/>
      <c r="O266" s="142"/>
    </row>
    <row r="267" ht="13.5" customHeight="1">
      <c r="A267" s="143"/>
      <c r="B267" s="144"/>
      <c r="C267" s="145"/>
      <c r="D267" s="145"/>
      <c r="E267" s="146"/>
      <c r="N267" s="91"/>
      <c r="O267" s="142"/>
    </row>
    <row r="268" ht="13.5" customHeight="1">
      <c r="A268" s="143"/>
      <c r="B268" s="144"/>
      <c r="C268" s="145"/>
      <c r="D268" s="145"/>
      <c r="E268" s="146"/>
      <c r="N268" s="91"/>
      <c r="O268" s="142"/>
    </row>
    <row r="269" ht="13.5" customHeight="1">
      <c r="A269" s="143"/>
      <c r="B269" s="144"/>
      <c r="C269" s="145"/>
      <c r="D269" s="145"/>
      <c r="E269" s="146"/>
      <c r="N269" s="91"/>
      <c r="O269" s="142"/>
    </row>
    <row r="270" ht="13.5" customHeight="1">
      <c r="A270" s="143"/>
      <c r="B270" s="144"/>
      <c r="C270" s="145"/>
      <c r="D270" s="145"/>
      <c r="E270" s="146"/>
      <c r="N270" s="91"/>
      <c r="O270" s="142"/>
    </row>
    <row r="271" ht="13.5" customHeight="1">
      <c r="A271" s="143"/>
      <c r="B271" s="144"/>
      <c r="C271" s="145"/>
      <c r="D271" s="145"/>
      <c r="E271" s="146"/>
      <c r="N271" s="91"/>
      <c r="O271" s="142"/>
    </row>
    <row r="272" ht="13.5" customHeight="1">
      <c r="A272" s="143"/>
      <c r="B272" s="144"/>
      <c r="C272" s="145"/>
      <c r="D272" s="145"/>
      <c r="E272" s="146"/>
      <c r="N272" s="91"/>
      <c r="O272" s="142"/>
    </row>
    <row r="273" ht="13.5" customHeight="1">
      <c r="A273" s="143"/>
      <c r="B273" s="144"/>
      <c r="C273" s="145"/>
      <c r="D273" s="145"/>
      <c r="E273" s="146"/>
      <c r="N273" s="91"/>
      <c r="O273" s="142"/>
    </row>
    <row r="274" ht="13.5" customHeight="1">
      <c r="A274" s="143"/>
      <c r="B274" s="144"/>
      <c r="C274" s="145"/>
      <c r="D274" s="145"/>
      <c r="E274" s="146"/>
      <c r="N274" s="91"/>
      <c r="O274" s="142"/>
    </row>
    <row r="275" ht="13.5" customHeight="1">
      <c r="A275" s="143"/>
      <c r="B275" s="144"/>
      <c r="C275" s="145"/>
      <c r="D275" s="145"/>
      <c r="E275" s="146"/>
      <c r="N275" s="91"/>
      <c r="O275" s="142"/>
    </row>
    <row r="276" ht="13.5" customHeight="1">
      <c r="A276" s="143"/>
      <c r="B276" s="144"/>
      <c r="C276" s="145"/>
      <c r="D276" s="145"/>
      <c r="E276" s="146"/>
      <c r="N276" s="91"/>
      <c r="O276" s="142"/>
    </row>
    <row r="277" ht="13.5" customHeight="1">
      <c r="A277" s="143"/>
      <c r="B277" s="144"/>
      <c r="C277" s="145"/>
      <c r="D277" s="145"/>
      <c r="E277" s="146"/>
      <c r="N277" s="91"/>
      <c r="O277" s="142"/>
    </row>
    <row r="278" ht="13.5" customHeight="1">
      <c r="A278" s="143"/>
      <c r="B278" s="144"/>
      <c r="C278" s="145"/>
      <c r="D278" s="145"/>
      <c r="E278" s="146"/>
      <c r="N278" s="91"/>
      <c r="O278" s="142"/>
    </row>
    <row r="279" ht="13.5" customHeight="1">
      <c r="A279" s="143"/>
      <c r="B279" s="144"/>
      <c r="C279" s="145"/>
      <c r="D279" s="145"/>
      <c r="E279" s="146"/>
      <c r="N279" s="91"/>
      <c r="O279" s="142"/>
    </row>
    <row r="280" ht="13.5" customHeight="1">
      <c r="A280" s="143"/>
      <c r="B280" s="144"/>
      <c r="C280" s="145"/>
      <c r="D280" s="145"/>
      <c r="E280" s="146"/>
      <c r="N280" s="91"/>
      <c r="O280" s="142"/>
    </row>
    <row r="281" ht="13.5" customHeight="1">
      <c r="A281" s="143"/>
      <c r="B281" s="144"/>
      <c r="C281" s="145"/>
      <c r="D281" s="145"/>
      <c r="E281" s="146"/>
      <c r="N281" s="91"/>
      <c r="O281" s="142"/>
    </row>
    <row r="282" ht="13.5" customHeight="1">
      <c r="A282" s="143"/>
      <c r="B282" s="144"/>
      <c r="C282" s="145"/>
      <c r="D282" s="145"/>
      <c r="E282" s="146"/>
      <c r="N282" s="91"/>
      <c r="O282" s="142"/>
    </row>
    <row r="283" ht="13.5" customHeight="1">
      <c r="A283" s="143"/>
      <c r="B283" s="144"/>
      <c r="C283" s="145"/>
      <c r="D283" s="145"/>
      <c r="E283" s="146"/>
      <c r="N283" s="91"/>
      <c r="O283" s="142"/>
    </row>
    <row r="284" ht="13.5" customHeight="1">
      <c r="A284" s="143"/>
      <c r="B284" s="144"/>
      <c r="C284" s="145"/>
      <c r="D284" s="145"/>
      <c r="E284" s="146"/>
      <c r="N284" s="91"/>
      <c r="O284" s="142"/>
    </row>
    <row r="285" ht="13.5" customHeight="1">
      <c r="A285" s="143"/>
      <c r="B285" s="144"/>
      <c r="C285" s="145"/>
      <c r="D285" s="145"/>
      <c r="E285" s="146"/>
      <c r="N285" s="91"/>
      <c r="O285" s="142"/>
    </row>
    <row r="286" ht="13.5" customHeight="1">
      <c r="A286" s="143"/>
      <c r="B286" s="144"/>
      <c r="C286" s="145"/>
      <c r="D286" s="145"/>
      <c r="E286" s="146"/>
      <c r="N286" s="91"/>
      <c r="O286" s="142"/>
    </row>
    <row r="287" ht="13.5" customHeight="1">
      <c r="A287" s="143"/>
      <c r="B287" s="144"/>
      <c r="C287" s="145"/>
      <c r="D287" s="145"/>
      <c r="E287" s="146"/>
      <c r="N287" s="91"/>
      <c r="O287" s="142"/>
    </row>
    <row r="288" ht="13.5" customHeight="1">
      <c r="A288" s="143"/>
      <c r="B288" s="144"/>
      <c r="C288" s="145"/>
      <c r="D288" s="145"/>
      <c r="E288" s="146"/>
      <c r="N288" s="91"/>
      <c r="O288" s="142"/>
    </row>
    <row r="289" ht="13.5" customHeight="1">
      <c r="A289" s="143"/>
      <c r="B289" s="144"/>
      <c r="C289" s="145"/>
      <c r="D289" s="145"/>
      <c r="E289" s="146"/>
      <c r="N289" s="91"/>
      <c r="O289" s="142"/>
    </row>
    <row r="290" ht="13.5" customHeight="1">
      <c r="A290" s="143"/>
      <c r="B290" s="144"/>
      <c r="C290" s="145"/>
      <c r="D290" s="145"/>
      <c r="E290" s="146"/>
      <c r="N290" s="91"/>
      <c r="O290" s="142"/>
    </row>
    <row r="291" ht="13.5" customHeight="1">
      <c r="A291" s="143"/>
      <c r="B291" s="144"/>
      <c r="C291" s="145"/>
      <c r="D291" s="145"/>
      <c r="E291" s="146"/>
      <c r="N291" s="91"/>
      <c r="O291" s="142"/>
    </row>
    <row r="292" ht="13.5" customHeight="1">
      <c r="A292" s="143"/>
      <c r="B292" s="144"/>
      <c r="C292" s="145"/>
      <c r="D292" s="145"/>
      <c r="E292" s="146"/>
      <c r="N292" s="91"/>
      <c r="O292" s="142"/>
    </row>
    <row r="293" ht="13.5" customHeight="1">
      <c r="A293" s="143"/>
      <c r="B293" s="144"/>
      <c r="C293" s="145"/>
      <c r="D293" s="145"/>
      <c r="E293" s="146"/>
      <c r="N293" s="91"/>
      <c r="O293" s="142"/>
    </row>
    <row r="294" ht="13.5" customHeight="1">
      <c r="A294" s="143"/>
      <c r="B294" s="144"/>
      <c r="C294" s="145"/>
      <c r="D294" s="145"/>
      <c r="E294" s="146"/>
      <c r="N294" s="91"/>
      <c r="O294" s="142"/>
    </row>
    <row r="295" ht="13.5" customHeight="1">
      <c r="A295" s="143"/>
      <c r="B295" s="144"/>
      <c r="C295" s="145"/>
      <c r="D295" s="145"/>
      <c r="E295" s="146"/>
      <c r="N295" s="91"/>
      <c r="O295" s="142"/>
    </row>
    <row r="296" ht="13.5" customHeight="1">
      <c r="A296" s="143"/>
      <c r="B296" s="144"/>
      <c r="C296" s="145"/>
      <c r="D296" s="145"/>
      <c r="E296" s="146"/>
      <c r="N296" s="91"/>
      <c r="O296" s="142"/>
    </row>
    <row r="297" ht="13.5" customHeight="1">
      <c r="A297" s="143"/>
      <c r="B297" s="144"/>
      <c r="C297" s="145"/>
      <c r="D297" s="145"/>
      <c r="E297" s="146"/>
      <c r="N297" s="91"/>
      <c r="O297" s="142"/>
    </row>
    <row r="298" ht="13.5" customHeight="1">
      <c r="A298" s="143"/>
      <c r="B298" s="144"/>
      <c r="C298" s="145"/>
      <c r="D298" s="145"/>
      <c r="E298" s="146"/>
      <c r="N298" s="91"/>
      <c r="O298" s="142"/>
    </row>
    <row r="299" ht="13.5" customHeight="1">
      <c r="A299" s="143"/>
      <c r="B299" s="144"/>
      <c r="C299" s="145"/>
      <c r="D299" s="145"/>
      <c r="E299" s="146"/>
      <c r="N299" s="91"/>
      <c r="O299" s="142"/>
    </row>
    <row r="300" ht="13.5" customHeight="1">
      <c r="A300" s="143"/>
      <c r="B300" s="144"/>
      <c r="C300" s="145"/>
      <c r="D300" s="145"/>
      <c r="E300" s="146"/>
      <c r="N300" s="91"/>
      <c r="O300" s="142"/>
    </row>
    <row r="301" ht="13.5" customHeight="1">
      <c r="A301" s="143"/>
      <c r="B301" s="144"/>
      <c r="C301" s="145"/>
      <c r="D301" s="145"/>
      <c r="E301" s="146"/>
      <c r="N301" s="91"/>
      <c r="O301" s="142"/>
    </row>
    <row r="302" ht="13.5" customHeight="1">
      <c r="A302" s="143"/>
      <c r="B302" s="144"/>
      <c r="C302" s="145"/>
      <c r="D302" s="145"/>
      <c r="E302" s="146"/>
      <c r="N302" s="91"/>
      <c r="O302" s="142"/>
    </row>
    <row r="303" ht="13.5" customHeight="1">
      <c r="A303" s="143"/>
      <c r="B303" s="144"/>
      <c r="C303" s="145"/>
      <c r="D303" s="145"/>
      <c r="E303" s="146"/>
      <c r="N303" s="91"/>
      <c r="O303" s="142"/>
    </row>
    <row r="304" ht="13.5" customHeight="1">
      <c r="A304" s="143"/>
      <c r="B304" s="144"/>
      <c r="C304" s="145"/>
      <c r="D304" s="145"/>
      <c r="E304" s="146"/>
      <c r="N304" s="91"/>
      <c r="O304" s="142"/>
    </row>
    <row r="305" ht="13.5" customHeight="1">
      <c r="A305" s="143"/>
      <c r="B305" s="144"/>
      <c r="C305" s="145"/>
      <c r="D305" s="145"/>
      <c r="E305" s="146"/>
      <c r="N305" s="91"/>
      <c r="O305" s="142"/>
    </row>
    <row r="306" ht="13.5" customHeight="1">
      <c r="A306" s="143"/>
      <c r="B306" s="144"/>
      <c r="C306" s="145"/>
      <c r="D306" s="145"/>
      <c r="E306" s="146"/>
      <c r="N306" s="91"/>
      <c r="O306" s="142"/>
    </row>
    <row r="307" ht="13.5" customHeight="1">
      <c r="A307" s="143"/>
      <c r="B307" s="144"/>
      <c r="C307" s="145"/>
      <c r="D307" s="145"/>
      <c r="E307" s="146"/>
      <c r="N307" s="91"/>
      <c r="O307" s="142"/>
    </row>
    <row r="308" ht="13.5" customHeight="1">
      <c r="A308" s="143"/>
      <c r="B308" s="144"/>
      <c r="C308" s="145"/>
      <c r="D308" s="145"/>
      <c r="E308" s="146"/>
      <c r="N308" s="91"/>
      <c r="O308" s="142"/>
    </row>
    <row r="309" ht="13.5" customHeight="1">
      <c r="A309" s="143"/>
      <c r="B309" s="144"/>
      <c r="C309" s="145"/>
      <c r="D309" s="145"/>
      <c r="E309" s="146"/>
      <c r="N309" s="91"/>
      <c r="O309" s="142"/>
    </row>
    <row r="310" ht="13.5" customHeight="1">
      <c r="A310" s="143"/>
      <c r="B310" s="144"/>
      <c r="C310" s="145"/>
      <c r="D310" s="145"/>
      <c r="E310" s="146"/>
      <c r="N310" s="91"/>
      <c r="O310" s="142"/>
    </row>
    <row r="311" ht="13.5" customHeight="1">
      <c r="A311" s="143"/>
      <c r="B311" s="144"/>
      <c r="C311" s="145"/>
      <c r="D311" s="145"/>
      <c r="E311" s="146"/>
      <c r="N311" s="91"/>
      <c r="O311" s="142"/>
    </row>
    <row r="312" ht="13.5" customHeight="1">
      <c r="A312" s="143"/>
      <c r="B312" s="144"/>
      <c r="C312" s="145"/>
      <c r="D312" s="145"/>
      <c r="E312" s="146"/>
      <c r="N312" s="91"/>
      <c r="O312" s="142"/>
    </row>
    <row r="313" ht="13.5" customHeight="1">
      <c r="A313" s="143"/>
      <c r="B313" s="144"/>
      <c r="C313" s="145"/>
      <c r="D313" s="145"/>
      <c r="E313" s="146"/>
      <c r="N313" s="91"/>
      <c r="O313" s="142"/>
    </row>
    <row r="314" ht="13.5" customHeight="1">
      <c r="A314" s="143"/>
      <c r="B314" s="144"/>
      <c r="C314" s="145"/>
      <c r="D314" s="145"/>
      <c r="E314" s="146"/>
      <c r="N314" s="91"/>
      <c r="O314" s="142"/>
    </row>
    <row r="315" ht="13.5" customHeight="1">
      <c r="A315" s="143"/>
      <c r="B315" s="144"/>
      <c r="C315" s="145"/>
      <c r="D315" s="145"/>
      <c r="E315" s="146"/>
      <c r="N315" s="91"/>
      <c r="O315" s="142"/>
    </row>
    <row r="316" ht="13.5" customHeight="1">
      <c r="A316" s="143"/>
      <c r="B316" s="144"/>
      <c r="C316" s="145"/>
      <c r="D316" s="145"/>
      <c r="E316" s="146"/>
      <c r="N316" s="91"/>
      <c r="O316" s="142"/>
    </row>
    <row r="317" ht="13.5" customHeight="1">
      <c r="A317" s="143"/>
      <c r="B317" s="144"/>
      <c r="C317" s="145"/>
      <c r="D317" s="145"/>
      <c r="E317" s="146"/>
      <c r="N317" s="91"/>
      <c r="O317" s="142"/>
    </row>
    <row r="318" ht="13.5" customHeight="1">
      <c r="A318" s="143"/>
      <c r="B318" s="144"/>
      <c r="C318" s="145"/>
      <c r="D318" s="145"/>
      <c r="E318" s="146"/>
      <c r="N318" s="91"/>
      <c r="O318" s="142"/>
    </row>
    <row r="319" ht="13.5" customHeight="1">
      <c r="A319" s="143"/>
      <c r="B319" s="144"/>
      <c r="C319" s="145"/>
      <c r="D319" s="145"/>
      <c r="E319" s="146"/>
      <c r="N319" s="91"/>
      <c r="O319" s="142"/>
    </row>
    <row r="320" ht="13.5" customHeight="1">
      <c r="A320" s="143"/>
      <c r="B320" s="144"/>
      <c r="C320" s="145"/>
      <c r="D320" s="145"/>
      <c r="E320" s="146"/>
      <c r="N320" s="91"/>
      <c r="O320" s="142"/>
    </row>
    <row r="321" ht="13.5" customHeight="1">
      <c r="A321" s="143"/>
      <c r="B321" s="144"/>
      <c r="C321" s="145"/>
      <c r="D321" s="145"/>
      <c r="E321" s="146"/>
      <c r="N321" s="91"/>
      <c r="O321" s="142"/>
    </row>
    <row r="322" ht="13.5" customHeight="1">
      <c r="A322" s="143"/>
      <c r="B322" s="144"/>
      <c r="C322" s="145"/>
      <c r="D322" s="145"/>
      <c r="E322" s="146"/>
      <c r="N322" s="91"/>
      <c r="O322" s="142"/>
    </row>
    <row r="323" ht="13.5" customHeight="1">
      <c r="A323" s="143"/>
      <c r="B323" s="144"/>
      <c r="C323" s="145"/>
      <c r="D323" s="145"/>
      <c r="E323" s="146"/>
      <c r="N323" s="91"/>
      <c r="O323" s="142"/>
    </row>
    <row r="324" ht="13.5" customHeight="1">
      <c r="A324" s="143"/>
      <c r="B324" s="144"/>
      <c r="C324" s="145"/>
      <c r="D324" s="145"/>
      <c r="E324" s="146"/>
      <c r="N324" s="91"/>
      <c r="O324" s="142"/>
    </row>
    <row r="325" ht="13.5" customHeight="1">
      <c r="A325" s="143"/>
      <c r="B325" s="144"/>
      <c r="C325" s="145"/>
      <c r="D325" s="145"/>
      <c r="E325" s="146"/>
      <c r="N325" s="91"/>
      <c r="O325" s="142"/>
    </row>
    <row r="326" ht="13.5" customHeight="1">
      <c r="A326" s="143"/>
      <c r="B326" s="144"/>
      <c r="C326" s="145"/>
      <c r="D326" s="145"/>
      <c r="E326" s="146"/>
      <c r="N326" s="91"/>
      <c r="O326" s="142"/>
    </row>
    <row r="327" ht="13.5" customHeight="1">
      <c r="A327" s="143"/>
      <c r="B327" s="144"/>
      <c r="C327" s="145"/>
      <c r="D327" s="145"/>
      <c r="E327" s="146"/>
      <c r="N327" s="91"/>
      <c r="O327" s="142"/>
    </row>
    <row r="328" ht="13.5" customHeight="1">
      <c r="A328" s="143"/>
      <c r="B328" s="144"/>
      <c r="C328" s="145"/>
      <c r="D328" s="145"/>
      <c r="E328" s="146"/>
      <c r="N328" s="91"/>
      <c r="O328" s="142"/>
    </row>
    <row r="329" ht="13.5" customHeight="1">
      <c r="A329" s="143"/>
      <c r="B329" s="144"/>
      <c r="C329" s="145"/>
      <c r="D329" s="145"/>
      <c r="E329" s="146"/>
      <c r="N329" s="91"/>
      <c r="O329" s="142"/>
    </row>
    <row r="330" ht="13.5" customHeight="1">
      <c r="A330" s="143"/>
      <c r="B330" s="144"/>
      <c r="C330" s="145"/>
      <c r="D330" s="145"/>
      <c r="E330" s="146"/>
      <c r="N330" s="91"/>
      <c r="O330" s="142"/>
    </row>
    <row r="331" ht="13.5" customHeight="1">
      <c r="A331" s="143"/>
      <c r="B331" s="144"/>
      <c r="C331" s="145"/>
      <c r="D331" s="145"/>
      <c r="E331" s="146"/>
      <c r="N331" s="91"/>
      <c r="O331" s="142"/>
    </row>
    <row r="332" ht="13.5" customHeight="1">
      <c r="A332" s="143"/>
      <c r="B332" s="144"/>
      <c r="C332" s="145"/>
      <c r="D332" s="145"/>
      <c r="E332" s="146"/>
      <c r="N332" s="91"/>
      <c r="O332" s="142"/>
    </row>
    <row r="333" ht="13.5" customHeight="1">
      <c r="A333" s="143"/>
      <c r="B333" s="144"/>
      <c r="C333" s="145"/>
      <c r="D333" s="145"/>
      <c r="E333" s="146"/>
      <c r="N333" s="91"/>
      <c r="O333" s="142"/>
    </row>
    <row r="334" ht="13.5" customHeight="1">
      <c r="A334" s="143"/>
      <c r="B334" s="144"/>
      <c r="C334" s="145"/>
      <c r="D334" s="145"/>
      <c r="E334" s="146"/>
      <c r="N334" s="91"/>
      <c r="O334" s="142"/>
    </row>
    <row r="335" ht="13.5" customHeight="1">
      <c r="A335" s="143"/>
      <c r="B335" s="144"/>
      <c r="C335" s="145"/>
      <c r="D335" s="145"/>
      <c r="E335" s="146"/>
      <c r="N335" s="91"/>
      <c r="O335" s="142"/>
    </row>
    <row r="336" ht="13.5" customHeight="1">
      <c r="A336" s="143"/>
      <c r="B336" s="144"/>
      <c r="C336" s="145"/>
      <c r="D336" s="145"/>
      <c r="E336" s="146"/>
      <c r="N336" s="91"/>
      <c r="O336" s="142"/>
    </row>
    <row r="337" ht="13.5" customHeight="1">
      <c r="A337" s="143"/>
      <c r="B337" s="144"/>
      <c r="C337" s="145"/>
      <c r="D337" s="145"/>
      <c r="E337" s="146"/>
      <c r="N337" s="91"/>
      <c r="O337" s="142"/>
    </row>
    <row r="338" ht="13.5" customHeight="1">
      <c r="A338" s="143"/>
      <c r="B338" s="144"/>
      <c r="C338" s="145"/>
      <c r="D338" s="145"/>
      <c r="E338" s="146"/>
      <c r="N338" s="91"/>
      <c r="O338" s="142"/>
    </row>
    <row r="339" ht="13.5" customHeight="1">
      <c r="A339" s="143"/>
      <c r="B339" s="144"/>
      <c r="C339" s="145"/>
      <c r="D339" s="145"/>
      <c r="E339" s="146"/>
      <c r="N339" s="91"/>
      <c r="O339" s="142"/>
    </row>
    <row r="340" ht="13.5" customHeight="1">
      <c r="A340" s="143"/>
      <c r="B340" s="144"/>
      <c r="C340" s="145"/>
      <c r="D340" s="145"/>
      <c r="E340" s="146"/>
      <c r="N340" s="91"/>
      <c r="O340" s="142"/>
    </row>
    <row r="341" ht="13.5" customHeight="1">
      <c r="A341" s="143"/>
      <c r="B341" s="144"/>
      <c r="C341" s="145"/>
      <c r="D341" s="145"/>
      <c r="E341" s="146"/>
      <c r="N341" s="91"/>
      <c r="O341" s="142"/>
    </row>
    <row r="342" ht="13.5" customHeight="1">
      <c r="A342" s="143"/>
      <c r="B342" s="144"/>
      <c r="C342" s="145"/>
      <c r="D342" s="145"/>
      <c r="E342" s="146"/>
      <c r="N342" s="91"/>
      <c r="O342" s="142"/>
    </row>
    <row r="343" ht="13.5" customHeight="1">
      <c r="A343" s="143"/>
      <c r="B343" s="144"/>
      <c r="C343" s="145"/>
      <c r="D343" s="145"/>
      <c r="E343" s="146"/>
      <c r="N343" s="91"/>
      <c r="O343" s="142"/>
    </row>
    <row r="344" ht="13.5" customHeight="1">
      <c r="A344" s="143"/>
      <c r="B344" s="144"/>
      <c r="C344" s="145"/>
      <c r="D344" s="145"/>
      <c r="E344" s="146"/>
      <c r="N344" s="91"/>
      <c r="O344" s="142"/>
    </row>
    <row r="345" ht="13.5" customHeight="1">
      <c r="A345" s="143"/>
      <c r="B345" s="144"/>
      <c r="C345" s="145"/>
      <c r="D345" s="145"/>
      <c r="E345" s="146"/>
      <c r="N345" s="91"/>
      <c r="O345" s="142"/>
    </row>
    <row r="346" ht="13.5" customHeight="1">
      <c r="A346" s="143"/>
      <c r="B346" s="144"/>
      <c r="C346" s="145"/>
      <c r="D346" s="145"/>
      <c r="E346" s="146"/>
      <c r="N346" s="91"/>
      <c r="O346" s="142"/>
    </row>
    <row r="347" ht="13.5" customHeight="1">
      <c r="A347" s="143"/>
      <c r="B347" s="144"/>
      <c r="C347" s="145"/>
      <c r="D347" s="145"/>
      <c r="E347" s="146"/>
      <c r="N347" s="91"/>
      <c r="O347" s="142"/>
    </row>
    <row r="348" ht="13.5" customHeight="1">
      <c r="A348" s="143"/>
      <c r="B348" s="144"/>
      <c r="C348" s="145"/>
      <c r="D348" s="145"/>
      <c r="E348" s="146"/>
      <c r="N348" s="91"/>
      <c r="O348" s="142"/>
    </row>
    <row r="349" ht="13.5" customHeight="1">
      <c r="A349" s="143"/>
      <c r="B349" s="144"/>
      <c r="C349" s="145"/>
      <c r="D349" s="145"/>
      <c r="E349" s="146"/>
      <c r="N349" s="91"/>
      <c r="O349" s="142"/>
    </row>
    <row r="350" ht="13.5" customHeight="1">
      <c r="A350" s="143"/>
      <c r="B350" s="144"/>
      <c r="C350" s="145"/>
      <c r="D350" s="145"/>
      <c r="E350" s="146"/>
      <c r="N350" s="91"/>
      <c r="O350" s="142"/>
    </row>
    <row r="351" ht="13.5" customHeight="1">
      <c r="A351" s="143"/>
      <c r="B351" s="144"/>
      <c r="C351" s="145"/>
      <c r="D351" s="145"/>
      <c r="E351" s="146"/>
      <c r="N351" s="91"/>
      <c r="O351" s="142"/>
    </row>
    <row r="352" ht="13.5" customHeight="1">
      <c r="A352" s="143"/>
      <c r="B352" s="144"/>
      <c r="C352" s="145"/>
      <c r="D352" s="145"/>
      <c r="E352" s="146"/>
      <c r="N352" s="91"/>
      <c r="O352" s="142"/>
    </row>
    <row r="353" ht="13.5" customHeight="1">
      <c r="A353" s="143"/>
      <c r="B353" s="144"/>
      <c r="C353" s="145"/>
      <c r="D353" s="145"/>
      <c r="E353" s="146"/>
      <c r="N353" s="91"/>
      <c r="O353" s="142"/>
    </row>
    <row r="354" ht="13.5" customHeight="1">
      <c r="A354" s="143"/>
      <c r="B354" s="144"/>
      <c r="C354" s="145"/>
      <c r="D354" s="145"/>
      <c r="E354" s="146"/>
      <c r="N354" s="91"/>
      <c r="O354" s="142"/>
    </row>
    <row r="355" ht="13.5" customHeight="1">
      <c r="A355" s="143"/>
      <c r="B355" s="144"/>
      <c r="C355" s="145"/>
      <c r="D355" s="145"/>
      <c r="E355" s="146"/>
      <c r="N355" s="91"/>
      <c r="O355" s="142"/>
    </row>
    <row r="356" ht="13.5" customHeight="1">
      <c r="A356" s="143"/>
      <c r="B356" s="144"/>
      <c r="C356" s="145"/>
      <c r="D356" s="145"/>
      <c r="E356" s="146"/>
      <c r="N356" s="91"/>
      <c r="O356" s="142"/>
    </row>
    <row r="357" ht="13.5" customHeight="1">
      <c r="A357" s="143"/>
      <c r="B357" s="144"/>
      <c r="C357" s="145"/>
      <c r="D357" s="145"/>
      <c r="E357" s="146"/>
      <c r="N357" s="91"/>
      <c r="O357" s="142"/>
    </row>
    <row r="358" ht="13.5" customHeight="1">
      <c r="A358" s="143"/>
      <c r="B358" s="144"/>
      <c r="C358" s="145"/>
      <c r="D358" s="145"/>
      <c r="E358" s="146"/>
      <c r="N358" s="91"/>
      <c r="O358" s="142"/>
    </row>
    <row r="359" ht="13.5" customHeight="1">
      <c r="A359" s="143"/>
      <c r="B359" s="144"/>
      <c r="C359" s="145"/>
      <c r="D359" s="145"/>
      <c r="E359" s="146"/>
      <c r="N359" s="91"/>
      <c r="O359" s="142"/>
    </row>
    <row r="360" ht="13.5" customHeight="1">
      <c r="A360" s="143"/>
      <c r="B360" s="144"/>
      <c r="C360" s="145"/>
      <c r="D360" s="145"/>
      <c r="E360" s="146"/>
      <c r="N360" s="91"/>
      <c r="O360" s="142"/>
    </row>
    <row r="361" ht="13.5" customHeight="1">
      <c r="A361" s="143"/>
      <c r="B361" s="144"/>
      <c r="C361" s="145"/>
      <c r="D361" s="145"/>
      <c r="E361" s="146"/>
      <c r="N361" s="91"/>
      <c r="O361" s="142"/>
    </row>
    <row r="362" ht="13.5" customHeight="1">
      <c r="A362" s="143"/>
      <c r="B362" s="144"/>
      <c r="C362" s="145"/>
      <c r="D362" s="145"/>
      <c r="E362" s="146"/>
      <c r="N362" s="91"/>
      <c r="O362" s="142"/>
    </row>
    <row r="363" ht="13.5" customHeight="1">
      <c r="A363" s="143"/>
      <c r="B363" s="144"/>
      <c r="C363" s="145"/>
      <c r="D363" s="145"/>
      <c r="E363" s="146"/>
      <c r="N363" s="91"/>
      <c r="O363" s="142"/>
    </row>
    <row r="364" ht="13.5" customHeight="1">
      <c r="A364" s="143"/>
      <c r="B364" s="144"/>
      <c r="C364" s="145"/>
      <c r="D364" s="145"/>
      <c r="E364" s="146"/>
      <c r="N364" s="91"/>
      <c r="O364" s="142"/>
    </row>
    <row r="365" ht="13.5" customHeight="1">
      <c r="A365" s="143"/>
      <c r="B365" s="144"/>
      <c r="C365" s="145"/>
      <c r="D365" s="145"/>
      <c r="E365" s="146"/>
      <c r="N365" s="91"/>
      <c r="O365" s="142"/>
    </row>
    <row r="366" ht="13.5" customHeight="1">
      <c r="A366" s="143"/>
      <c r="B366" s="144"/>
      <c r="C366" s="145"/>
      <c r="D366" s="145"/>
      <c r="E366" s="146"/>
      <c r="N366" s="91"/>
      <c r="O366" s="142"/>
    </row>
    <row r="367" ht="13.5" customHeight="1">
      <c r="A367" s="143"/>
      <c r="B367" s="144"/>
      <c r="C367" s="145"/>
      <c r="D367" s="145"/>
      <c r="E367" s="146"/>
      <c r="N367" s="91"/>
      <c r="O367" s="142"/>
    </row>
    <row r="368" ht="13.5" customHeight="1">
      <c r="A368" s="143"/>
      <c r="B368" s="144"/>
      <c r="C368" s="145"/>
      <c r="D368" s="145"/>
      <c r="E368" s="146"/>
      <c r="N368" s="91"/>
      <c r="O368" s="142"/>
    </row>
    <row r="369" ht="13.5" customHeight="1">
      <c r="A369" s="143"/>
      <c r="B369" s="144"/>
      <c r="C369" s="145"/>
      <c r="D369" s="145"/>
      <c r="E369" s="146"/>
      <c r="N369" s="91"/>
      <c r="O369" s="142"/>
    </row>
    <row r="370" ht="13.5" customHeight="1">
      <c r="A370" s="143"/>
      <c r="B370" s="144"/>
      <c r="C370" s="145"/>
      <c r="D370" s="145"/>
      <c r="E370" s="146"/>
      <c r="N370" s="91"/>
      <c r="O370" s="142"/>
    </row>
    <row r="371" ht="13.5" customHeight="1">
      <c r="A371" s="143"/>
      <c r="B371" s="144"/>
      <c r="C371" s="145"/>
      <c r="D371" s="145"/>
      <c r="E371" s="146"/>
      <c r="N371" s="91"/>
      <c r="O371" s="142"/>
    </row>
    <row r="372" ht="13.5" customHeight="1">
      <c r="A372" s="143"/>
      <c r="B372" s="144"/>
      <c r="C372" s="145"/>
      <c r="D372" s="145"/>
      <c r="E372" s="146"/>
      <c r="N372" s="91"/>
      <c r="O372" s="142"/>
    </row>
    <row r="373" ht="13.5" customHeight="1">
      <c r="A373" s="143"/>
      <c r="B373" s="144"/>
      <c r="C373" s="145"/>
      <c r="D373" s="145"/>
      <c r="E373" s="146"/>
      <c r="N373" s="91"/>
      <c r="O373" s="142"/>
    </row>
    <row r="374" ht="13.5" customHeight="1">
      <c r="A374" s="143"/>
      <c r="B374" s="144"/>
      <c r="C374" s="145"/>
      <c r="D374" s="145"/>
      <c r="E374" s="146"/>
      <c r="N374" s="91"/>
      <c r="O374" s="142"/>
    </row>
    <row r="375" ht="13.5" customHeight="1">
      <c r="A375" s="143"/>
      <c r="B375" s="144"/>
      <c r="C375" s="145"/>
      <c r="D375" s="145"/>
      <c r="E375" s="146"/>
      <c r="N375" s="91"/>
      <c r="O375" s="142"/>
    </row>
    <row r="376" ht="13.5" customHeight="1">
      <c r="A376" s="143"/>
      <c r="B376" s="144"/>
      <c r="C376" s="145"/>
      <c r="D376" s="145"/>
      <c r="E376" s="146"/>
      <c r="N376" s="91"/>
      <c r="O376" s="142"/>
    </row>
    <row r="377" ht="13.5" customHeight="1">
      <c r="A377" s="143"/>
      <c r="B377" s="144"/>
      <c r="C377" s="145"/>
      <c r="D377" s="145"/>
      <c r="E377" s="146"/>
      <c r="N377" s="91"/>
      <c r="O377" s="142"/>
    </row>
    <row r="378" ht="13.5" customHeight="1">
      <c r="A378" s="143"/>
      <c r="B378" s="144"/>
      <c r="C378" s="145"/>
      <c r="D378" s="145"/>
      <c r="E378" s="146"/>
      <c r="N378" s="91"/>
      <c r="O378" s="142"/>
    </row>
    <row r="379" ht="13.5" customHeight="1">
      <c r="A379" s="143"/>
      <c r="B379" s="144"/>
      <c r="C379" s="145"/>
      <c r="D379" s="145"/>
      <c r="E379" s="146"/>
      <c r="N379" s="91"/>
      <c r="O379" s="142"/>
    </row>
    <row r="380" ht="13.5" customHeight="1">
      <c r="A380" s="143"/>
      <c r="B380" s="144"/>
      <c r="C380" s="145"/>
      <c r="D380" s="145"/>
      <c r="E380" s="146"/>
      <c r="N380" s="91"/>
      <c r="O380" s="142"/>
    </row>
    <row r="381" ht="13.5" customHeight="1">
      <c r="A381" s="143"/>
      <c r="B381" s="144"/>
      <c r="C381" s="145"/>
      <c r="D381" s="145"/>
      <c r="E381" s="146"/>
      <c r="N381" s="91"/>
      <c r="O381" s="142"/>
    </row>
    <row r="382" ht="13.5" customHeight="1">
      <c r="A382" s="143"/>
      <c r="B382" s="144"/>
      <c r="C382" s="145"/>
      <c r="D382" s="145"/>
      <c r="E382" s="146"/>
      <c r="N382" s="91"/>
      <c r="O382" s="142"/>
    </row>
    <row r="383" ht="13.5" customHeight="1">
      <c r="A383" s="143"/>
      <c r="B383" s="144"/>
      <c r="C383" s="145"/>
      <c r="D383" s="145"/>
      <c r="E383" s="146"/>
      <c r="N383" s="91"/>
      <c r="O383" s="142"/>
    </row>
    <row r="384" ht="13.5" customHeight="1">
      <c r="A384" s="143"/>
      <c r="B384" s="144"/>
      <c r="C384" s="145"/>
      <c r="D384" s="145"/>
      <c r="E384" s="146"/>
      <c r="N384" s="91"/>
      <c r="O384" s="142"/>
    </row>
    <row r="385" ht="13.5" customHeight="1">
      <c r="A385" s="143"/>
      <c r="B385" s="144"/>
      <c r="C385" s="145"/>
      <c r="D385" s="145"/>
      <c r="E385" s="146"/>
      <c r="N385" s="91"/>
      <c r="O385" s="142"/>
    </row>
    <row r="386" ht="13.5" customHeight="1">
      <c r="A386" s="143"/>
      <c r="B386" s="144"/>
      <c r="C386" s="145"/>
      <c r="D386" s="145"/>
      <c r="E386" s="146"/>
      <c r="N386" s="91"/>
      <c r="O386" s="142"/>
    </row>
    <row r="387" ht="13.5" customHeight="1">
      <c r="A387" s="143"/>
      <c r="B387" s="144"/>
      <c r="C387" s="145"/>
      <c r="D387" s="145"/>
      <c r="E387" s="146"/>
      <c r="N387" s="91"/>
      <c r="O387" s="142"/>
    </row>
    <row r="388" ht="13.5" customHeight="1">
      <c r="A388" s="143"/>
      <c r="B388" s="144"/>
      <c r="C388" s="145"/>
      <c r="D388" s="145"/>
      <c r="E388" s="146"/>
      <c r="N388" s="91"/>
      <c r="O388" s="142"/>
    </row>
    <row r="389" ht="13.5" customHeight="1">
      <c r="A389" s="143"/>
      <c r="B389" s="144"/>
      <c r="C389" s="145"/>
      <c r="D389" s="145"/>
      <c r="E389" s="146"/>
      <c r="N389" s="91"/>
      <c r="O389" s="142"/>
    </row>
    <row r="390" ht="13.5" customHeight="1">
      <c r="A390" s="143"/>
      <c r="B390" s="144"/>
      <c r="C390" s="145"/>
      <c r="D390" s="145"/>
      <c r="E390" s="146"/>
      <c r="N390" s="91"/>
      <c r="O390" s="142"/>
    </row>
    <row r="391" ht="13.5" customHeight="1">
      <c r="A391" s="143"/>
      <c r="B391" s="144"/>
      <c r="C391" s="145"/>
      <c r="D391" s="145"/>
      <c r="E391" s="146"/>
      <c r="N391" s="91"/>
      <c r="O391" s="142"/>
    </row>
    <row r="392" ht="13.5" customHeight="1">
      <c r="A392" s="143"/>
      <c r="B392" s="144"/>
      <c r="C392" s="145"/>
      <c r="D392" s="145"/>
      <c r="E392" s="146"/>
      <c r="N392" s="91"/>
      <c r="O392" s="142"/>
    </row>
    <row r="393" ht="13.5" customHeight="1">
      <c r="A393" s="143"/>
      <c r="B393" s="144"/>
      <c r="C393" s="145"/>
      <c r="D393" s="145"/>
      <c r="E393" s="146"/>
      <c r="N393" s="91"/>
      <c r="O393" s="142"/>
    </row>
    <row r="394" ht="13.5" customHeight="1">
      <c r="A394" s="143"/>
      <c r="B394" s="144"/>
      <c r="C394" s="145"/>
      <c r="D394" s="145"/>
      <c r="E394" s="146"/>
      <c r="N394" s="91"/>
      <c r="O394" s="142"/>
    </row>
    <row r="395" ht="13.5" customHeight="1">
      <c r="A395" s="143"/>
      <c r="B395" s="144"/>
      <c r="C395" s="145"/>
      <c r="D395" s="145"/>
      <c r="E395" s="146"/>
      <c r="N395" s="91"/>
      <c r="O395" s="142"/>
    </row>
    <row r="396" ht="13.5" customHeight="1">
      <c r="A396" s="143"/>
      <c r="B396" s="144"/>
      <c r="C396" s="145"/>
      <c r="D396" s="145"/>
      <c r="E396" s="146"/>
      <c r="N396" s="91"/>
      <c r="O396" s="142"/>
    </row>
    <row r="397" ht="13.5" customHeight="1">
      <c r="A397" s="143"/>
      <c r="B397" s="144"/>
      <c r="C397" s="145"/>
      <c r="D397" s="145"/>
      <c r="E397" s="146"/>
      <c r="N397" s="91"/>
      <c r="O397" s="142"/>
    </row>
    <row r="398" ht="13.5" customHeight="1">
      <c r="A398" s="143"/>
      <c r="B398" s="144"/>
      <c r="C398" s="145"/>
      <c r="D398" s="145"/>
      <c r="E398" s="146"/>
      <c r="N398" s="91"/>
      <c r="O398" s="142"/>
    </row>
    <row r="399" ht="13.5" customHeight="1">
      <c r="A399" s="143"/>
      <c r="B399" s="144"/>
      <c r="C399" s="145"/>
      <c r="D399" s="145"/>
      <c r="E399" s="146"/>
      <c r="N399" s="91"/>
      <c r="O399" s="142"/>
    </row>
    <row r="400" ht="13.5" customHeight="1">
      <c r="A400" s="143"/>
      <c r="B400" s="144"/>
      <c r="C400" s="145"/>
      <c r="D400" s="145"/>
      <c r="E400" s="146"/>
      <c r="N400" s="91"/>
      <c r="O400" s="142"/>
    </row>
    <row r="401" ht="13.5" customHeight="1">
      <c r="A401" s="143"/>
      <c r="B401" s="144"/>
      <c r="C401" s="145"/>
      <c r="D401" s="145"/>
      <c r="E401" s="146"/>
      <c r="N401" s="91"/>
      <c r="O401" s="142"/>
    </row>
    <row r="402" ht="13.5" customHeight="1">
      <c r="A402" s="143"/>
      <c r="B402" s="144"/>
      <c r="C402" s="145"/>
      <c r="D402" s="145"/>
      <c r="E402" s="146"/>
      <c r="N402" s="91"/>
      <c r="O402" s="142"/>
    </row>
    <row r="403" ht="13.5" customHeight="1">
      <c r="A403" s="143"/>
      <c r="B403" s="144"/>
      <c r="C403" s="145"/>
      <c r="D403" s="145"/>
      <c r="E403" s="146"/>
      <c r="N403" s="91"/>
      <c r="O403" s="142"/>
    </row>
    <row r="404" ht="13.5" customHeight="1">
      <c r="A404" s="143"/>
      <c r="B404" s="144"/>
      <c r="C404" s="145"/>
      <c r="D404" s="145"/>
      <c r="E404" s="146"/>
      <c r="N404" s="91"/>
      <c r="O404" s="142"/>
    </row>
    <row r="405" ht="13.5" customHeight="1">
      <c r="A405" s="143"/>
      <c r="B405" s="144"/>
      <c r="C405" s="145"/>
      <c r="D405" s="145"/>
      <c r="E405" s="146"/>
      <c r="N405" s="91"/>
      <c r="O405" s="142"/>
    </row>
    <row r="406" ht="13.5" customHeight="1">
      <c r="A406" s="143"/>
      <c r="B406" s="144"/>
      <c r="C406" s="145"/>
      <c r="D406" s="145"/>
      <c r="E406" s="146"/>
      <c r="N406" s="91"/>
      <c r="O406" s="142"/>
    </row>
    <row r="407" ht="13.5" customHeight="1">
      <c r="A407" s="143"/>
      <c r="B407" s="144"/>
      <c r="C407" s="145"/>
      <c r="D407" s="145"/>
      <c r="E407" s="146"/>
      <c r="N407" s="91"/>
      <c r="O407" s="142"/>
    </row>
    <row r="408" ht="13.5" customHeight="1">
      <c r="A408" s="143"/>
      <c r="B408" s="144"/>
      <c r="C408" s="145"/>
      <c r="D408" s="145"/>
      <c r="E408" s="146"/>
      <c r="N408" s="91"/>
      <c r="O408" s="142"/>
    </row>
    <row r="409" ht="13.5" customHeight="1">
      <c r="A409" s="143"/>
      <c r="B409" s="144"/>
      <c r="C409" s="145"/>
      <c r="D409" s="145"/>
      <c r="E409" s="146"/>
      <c r="N409" s="91"/>
      <c r="O409" s="142"/>
    </row>
    <row r="410" ht="13.5" customHeight="1">
      <c r="A410" s="143"/>
      <c r="B410" s="144"/>
      <c r="C410" s="145"/>
      <c r="D410" s="145"/>
      <c r="E410" s="146"/>
      <c r="N410" s="91"/>
      <c r="O410" s="142"/>
    </row>
    <row r="411" ht="13.5" customHeight="1">
      <c r="A411" s="143"/>
      <c r="B411" s="144"/>
      <c r="C411" s="145"/>
      <c r="D411" s="145"/>
      <c r="E411" s="146"/>
      <c r="N411" s="91"/>
      <c r="O411" s="142"/>
    </row>
    <row r="412" ht="13.5" customHeight="1">
      <c r="A412" s="143"/>
      <c r="B412" s="144"/>
      <c r="C412" s="145"/>
      <c r="D412" s="145"/>
      <c r="E412" s="146"/>
      <c r="N412" s="91"/>
      <c r="O412" s="142"/>
    </row>
    <row r="413" ht="13.5" customHeight="1">
      <c r="A413" s="143"/>
      <c r="B413" s="144"/>
      <c r="C413" s="145"/>
      <c r="D413" s="145"/>
      <c r="E413" s="146"/>
      <c r="N413" s="91"/>
      <c r="O413" s="142"/>
    </row>
    <row r="414" ht="13.5" customHeight="1">
      <c r="A414" s="143"/>
      <c r="B414" s="144"/>
      <c r="C414" s="145"/>
      <c r="D414" s="145"/>
      <c r="E414" s="146"/>
      <c r="N414" s="91"/>
      <c r="O414" s="142"/>
    </row>
    <row r="415" ht="13.5" customHeight="1">
      <c r="A415" s="143"/>
      <c r="B415" s="144"/>
      <c r="C415" s="145"/>
      <c r="D415" s="145"/>
      <c r="E415" s="146"/>
      <c r="N415" s="91"/>
      <c r="O415" s="142"/>
    </row>
    <row r="416" ht="13.5" customHeight="1">
      <c r="A416" s="143"/>
      <c r="B416" s="144"/>
      <c r="C416" s="145"/>
      <c r="D416" s="145"/>
      <c r="E416" s="146"/>
      <c r="N416" s="91"/>
      <c r="O416" s="142"/>
    </row>
    <row r="417" ht="13.5" customHeight="1">
      <c r="A417" s="143"/>
      <c r="B417" s="144"/>
      <c r="C417" s="145"/>
      <c r="D417" s="145"/>
      <c r="E417" s="146"/>
      <c r="N417" s="91"/>
      <c r="O417" s="142"/>
    </row>
    <row r="418" ht="13.5" customHeight="1">
      <c r="A418" s="143"/>
      <c r="B418" s="144"/>
      <c r="C418" s="145"/>
      <c r="D418" s="145"/>
      <c r="E418" s="146"/>
      <c r="N418" s="91"/>
      <c r="O418" s="142"/>
    </row>
    <row r="419" ht="13.5" customHeight="1">
      <c r="A419" s="143"/>
      <c r="B419" s="144"/>
      <c r="C419" s="145"/>
      <c r="D419" s="145"/>
      <c r="E419" s="146"/>
      <c r="N419" s="91"/>
      <c r="O419" s="142"/>
    </row>
    <row r="420" ht="13.5" customHeight="1">
      <c r="A420" s="143"/>
      <c r="B420" s="144"/>
      <c r="C420" s="145"/>
      <c r="D420" s="145"/>
      <c r="E420" s="146"/>
      <c r="N420" s="91"/>
      <c r="O420" s="142"/>
    </row>
    <row r="421" ht="13.5" customHeight="1">
      <c r="A421" s="143"/>
      <c r="B421" s="144"/>
      <c r="C421" s="145"/>
      <c r="D421" s="145"/>
      <c r="E421" s="146"/>
      <c r="N421" s="91"/>
      <c r="O421" s="142"/>
    </row>
    <row r="422" ht="13.5" customHeight="1">
      <c r="A422" s="143"/>
      <c r="B422" s="144"/>
      <c r="C422" s="145"/>
      <c r="D422" s="145"/>
      <c r="E422" s="146"/>
      <c r="N422" s="91"/>
      <c r="O422" s="142"/>
    </row>
    <row r="423" ht="13.5" customHeight="1">
      <c r="A423" s="143"/>
      <c r="B423" s="144"/>
      <c r="C423" s="145"/>
      <c r="D423" s="145"/>
      <c r="E423" s="146"/>
      <c r="N423" s="91"/>
      <c r="O423" s="142"/>
    </row>
    <row r="424" ht="13.5" customHeight="1">
      <c r="A424" s="143"/>
      <c r="B424" s="144"/>
      <c r="C424" s="145"/>
      <c r="D424" s="145"/>
      <c r="E424" s="146"/>
      <c r="N424" s="91"/>
      <c r="O424" s="142"/>
    </row>
    <row r="425" ht="13.5" customHeight="1">
      <c r="A425" s="143"/>
      <c r="B425" s="144"/>
      <c r="C425" s="145"/>
      <c r="D425" s="145"/>
      <c r="E425" s="146"/>
      <c r="N425" s="91"/>
      <c r="O425" s="142"/>
    </row>
    <row r="426" ht="13.5" customHeight="1">
      <c r="A426" s="143"/>
      <c r="B426" s="144"/>
      <c r="C426" s="145"/>
      <c r="D426" s="145"/>
      <c r="E426" s="146"/>
      <c r="N426" s="91"/>
      <c r="O426" s="142"/>
    </row>
    <row r="427" ht="13.5" customHeight="1">
      <c r="A427" s="143"/>
      <c r="B427" s="144"/>
      <c r="C427" s="145"/>
      <c r="D427" s="145"/>
      <c r="E427" s="146"/>
      <c r="N427" s="91"/>
      <c r="O427" s="142"/>
    </row>
    <row r="428" ht="13.5" customHeight="1">
      <c r="A428" s="143"/>
      <c r="B428" s="144"/>
      <c r="C428" s="145"/>
      <c r="D428" s="145"/>
      <c r="E428" s="146"/>
      <c r="N428" s="91"/>
      <c r="O428" s="142"/>
    </row>
    <row r="429" ht="13.5" customHeight="1">
      <c r="A429" s="143"/>
      <c r="B429" s="144"/>
      <c r="C429" s="145"/>
      <c r="D429" s="145"/>
      <c r="E429" s="146"/>
      <c r="N429" s="91"/>
      <c r="O429" s="142"/>
    </row>
    <row r="430" ht="13.5" customHeight="1">
      <c r="A430" s="143"/>
      <c r="B430" s="144"/>
      <c r="C430" s="145"/>
      <c r="D430" s="145"/>
      <c r="E430" s="146"/>
      <c r="N430" s="91"/>
      <c r="O430" s="142"/>
    </row>
    <row r="431" ht="13.5" customHeight="1">
      <c r="A431" s="143"/>
      <c r="B431" s="144"/>
      <c r="C431" s="145"/>
      <c r="D431" s="145"/>
      <c r="E431" s="146"/>
      <c r="N431" s="91"/>
      <c r="O431" s="142"/>
    </row>
    <row r="432" ht="13.5" customHeight="1">
      <c r="A432" s="143"/>
      <c r="B432" s="144"/>
      <c r="C432" s="145"/>
      <c r="D432" s="145"/>
      <c r="E432" s="146"/>
      <c r="N432" s="91"/>
      <c r="O432" s="142"/>
    </row>
    <row r="433" ht="13.5" customHeight="1">
      <c r="A433" s="143"/>
      <c r="B433" s="144"/>
      <c r="C433" s="145"/>
      <c r="D433" s="145"/>
      <c r="E433" s="146"/>
      <c r="N433" s="91"/>
      <c r="O433" s="142"/>
    </row>
    <row r="434" ht="13.5" customHeight="1">
      <c r="A434" s="143"/>
      <c r="B434" s="144"/>
      <c r="C434" s="145"/>
      <c r="D434" s="145"/>
      <c r="E434" s="146"/>
      <c r="N434" s="91"/>
      <c r="O434" s="142"/>
    </row>
    <row r="435" ht="13.5" customHeight="1">
      <c r="A435" s="143"/>
      <c r="B435" s="144"/>
      <c r="C435" s="145"/>
      <c r="D435" s="145"/>
      <c r="E435" s="146"/>
      <c r="N435" s="91"/>
      <c r="O435" s="142"/>
    </row>
    <row r="436" ht="13.5" customHeight="1">
      <c r="A436" s="143"/>
      <c r="B436" s="144"/>
      <c r="C436" s="145"/>
      <c r="D436" s="145"/>
      <c r="E436" s="146"/>
      <c r="N436" s="91"/>
      <c r="O436" s="142"/>
    </row>
    <row r="437" ht="13.5" customHeight="1">
      <c r="A437" s="143"/>
      <c r="B437" s="144"/>
      <c r="C437" s="145"/>
      <c r="D437" s="145"/>
      <c r="E437" s="146"/>
      <c r="N437" s="91"/>
      <c r="O437" s="142"/>
    </row>
    <row r="438" ht="13.5" customHeight="1">
      <c r="A438" s="143"/>
      <c r="B438" s="144"/>
      <c r="C438" s="145"/>
      <c r="D438" s="145"/>
      <c r="E438" s="146"/>
      <c r="N438" s="91"/>
      <c r="O438" s="142"/>
    </row>
    <row r="439" ht="13.5" customHeight="1">
      <c r="A439" s="143"/>
      <c r="B439" s="144"/>
      <c r="C439" s="145"/>
      <c r="D439" s="145"/>
      <c r="E439" s="146"/>
      <c r="N439" s="91"/>
      <c r="O439" s="142"/>
    </row>
    <row r="440" ht="13.5" customHeight="1">
      <c r="A440" s="143"/>
      <c r="B440" s="144"/>
      <c r="C440" s="145"/>
      <c r="D440" s="145"/>
      <c r="E440" s="146"/>
      <c r="N440" s="91"/>
      <c r="O440" s="142"/>
    </row>
    <row r="441" ht="13.5" customHeight="1">
      <c r="A441" s="143"/>
      <c r="B441" s="144"/>
      <c r="C441" s="145"/>
      <c r="D441" s="145"/>
      <c r="E441" s="146"/>
      <c r="N441" s="91"/>
      <c r="O441" s="142"/>
    </row>
    <row r="442" ht="13.5" customHeight="1">
      <c r="A442" s="143"/>
      <c r="B442" s="144"/>
      <c r="C442" s="145"/>
      <c r="D442" s="145"/>
      <c r="E442" s="146"/>
      <c r="N442" s="91"/>
      <c r="O442" s="142"/>
    </row>
    <row r="443" ht="13.5" customHeight="1">
      <c r="A443" s="143"/>
      <c r="B443" s="144"/>
      <c r="C443" s="145"/>
      <c r="D443" s="145"/>
      <c r="E443" s="146"/>
      <c r="N443" s="91"/>
      <c r="O443" s="142"/>
    </row>
    <row r="444" ht="13.5" customHeight="1">
      <c r="A444" s="143"/>
      <c r="B444" s="144"/>
      <c r="C444" s="145"/>
      <c r="D444" s="145"/>
      <c r="E444" s="146"/>
      <c r="N444" s="91"/>
      <c r="O444" s="142"/>
    </row>
    <row r="445" ht="13.5" customHeight="1">
      <c r="A445" s="143"/>
      <c r="B445" s="144"/>
      <c r="C445" s="145"/>
      <c r="D445" s="145"/>
      <c r="E445" s="146"/>
      <c r="N445" s="91"/>
      <c r="O445" s="142"/>
    </row>
    <row r="446" ht="13.5" customHeight="1">
      <c r="A446" s="143"/>
      <c r="B446" s="144"/>
      <c r="C446" s="145"/>
      <c r="D446" s="145"/>
      <c r="E446" s="146"/>
      <c r="N446" s="91"/>
      <c r="O446" s="142"/>
    </row>
    <row r="447" ht="13.5" customHeight="1">
      <c r="A447" s="143"/>
      <c r="B447" s="144"/>
      <c r="C447" s="145"/>
      <c r="D447" s="145"/>
      <c r="E447" s="146"/>
      <c r="N447" s="91"/>
      <c r="O447" s="142"/>
    </row>
    <row r="448" ht="13.5" customHeight="1">
      <c r="A448" s="143"/>
      <c r="B448" s="144"/>
      <c r="C448" s="145"/>
      <c r="D448" s="145"/>
      <c r="E448" s="146"/>
      <c r="N448" s="91"/>
      <c r="O448" s="142"/>
    </row>
    <row r="449" ht="13.5" customHeight="1">
      <c r="A449" s="143"/>
      <c r="B449" s="144"/>
      <c r="C449" s="145"/>
      <c r="D449" s="145"/>
      <c r="E449" s="146"/>
      <c r="N449" s="91"/>
      <c r="O449" s="142"/>
    </row>
    <row r="450" ht="13.5" customHeight="1">
      <c r="A450" s="143"/>
      <c r="B450" s="144"/>
      <c r="C450" s="145"/>
      <c r="D450" s="145"/>
      <c r="E450" s="146"/>
      <c r="N450" s="91"/>
      <c r="O450" s="142"/>
    </row>
    <row r="451" ht="13.5" customHeight="1">
      <c r="A451" s="143"/>
      <c r="B451" s="144"/>
      <c r="C451" s="145"/>
      <c r="D451" s="145"/>
      <c r="E451" s="146"/>
      <c r="N451" s="91"/>
      <c r="O451" s="142"/>
    </row>
    <row r="452" ht="13.5" customHeight="1">
      <c r="A452" s="143"/>
      <c r="B452" s="144"/>
      <c r="C452" s="145"/>
      <c r="D452" s="145"/>
      <c r="E452" s="146"/>
      <c r="N452" s="91"/>
      <c r="O452" s="142"/>
    </row>
    <row r="453" ht="13.5" customHeight="1">
      <c r="A453" s="143"/>
      <c r="B453" s="144"/>
      <c r="C453" s="145"/>
      <c r="D453" s="145"/>
      <c r="E453" s="146"/>
      <c r="N453" s="91"/>
      <c r="O453" s="142"/>
    </row>
    <row r="454" ht="13.5" customHeight="1">
      <c r="A454" s="143"/>
      <c r="B454" s="144"/>
      <c r="C454" s="145"/>
      <c r="D454" s="145"/>
      <c r="E454" s="146"/>
      <c r="N454" s="91"/>
      <c r="O454" s="142"/>
    </row>
    <row r="455" ht="13.5" customHeight="1">
      <c r="A455" s="143"/>
      <c r="B455" s="144"/>
      <c r="C455" s="145"/>
      <c r="D455" s="145"/>
      <c r="E455" s="146"/>
      <c r="N455" s="91"/>
      <c r="O455" s="142"/>
    </row>
    <row r="456" ht="13.5" customHeight="1">
      <c r="A456" s="143"/>
      <c r="B456" s="144"/>
      <c r="C456" s="145"/>
      <c r="D456" s="145"/>
      <c r="E456" s="146"/>
      <c r="N456" s="91"/>
      <c r="O456" s="142"/>
    </row>
    <row r="457" ht="13.5" customHeight="1">
      <c r="A457" s="143"/>
      <c r="B457" s="144"/>
      <c r="C457" s="145"/>
      <c r="D457" s="145"/>
      <c r="E457" s="146"/>
      <c r="N457" s="91"/>
      <c r="O457" s="142"/>
    </row>
    <row r="458" ht="13.5" customHeight="1">
      <c r="A458" s="143"/>
      <c r="B458" s="144"/>
      <c r="C458" s="145"/>
      <c r="D458" s="145"/>
      <c r="E458" s="146"/>
      <c r="N458" s="91"/>
      <c r="O458" s="142"/>
    </row>
    <row r="459" ht="13.5" customHeight="1">
      <c r="A459" s="143"/>
      <c r="B459" s="144"/>
      <c r="C459" s="145"/>
      <c r="D459" s="145"/>
      <c r="E459" s="146"/>
      <c r="N459" s="91"/>
      <c r="O459" s="142"/>
    </row>
    <row r="460" ht="13.5" customHeight="1">
      <c r="A460" s="143"/>
      <c r="B460" s="144"/>
      <c r="C460" s="145"/>
      <c r="D460" s="145"/>
      <c r="E460" s="146"/>
      <c r="N460" s="91"/>
      <c r="O460" s="142"/>
    </row>
    <row r="461" ht="13.5" customHeight="1">
      <c r="A461" s="143"/>
      <c r="B461" s="144"/>
      <c r="C461" s="145"/>
      <c r="D461" s="145"/>
      <c r="E461" s="146"/>
      <c r="N461" s="91"/>
      <c r="O461" s="142"/>
    </row>
    <row r="462" ht="13.5" customHeight="1">
      <c r="A462" s="143"/>
      <c r="B462" s="144"/>
      <c r="C462" s="145"/>
      <c r="D462" s="145"/>
      <c r="E462" s="146"/>
      <c r="N462" s="91"/>
      <c r="O462" s="142"/>
    </row>
    <row r="463" ht="13.5" customHeight="1">
      <c r="A463" s="143"/>
      <c r="B463" s="144"/>
      <c r="C463" s="145"/>
      <c r="D463" s="145"/>
      <c r="E463" s="146"/>
      <c r="N463" s="91"/>
      <c r="O463" s="142"/>
    </row>
    <row r="464" ht="13.5" customHeight="1">
      <c r="A464" s="143"/>
      <c r="B464" s="144"/>
      <c r="C464" s="145"/>
      <c r="D464" s="145"/>
      <c r="E464" s="146"/>
      <c r="N464" s="91"/>
      <c r="O464" s="142"/>
    </row>
    <row r="465" ht="13.5" customHeight="1">
      <c r="A465" s="143"/>
      <c r="B465" s="144"/>
      <c r="C465" s="145"/>
      <c r="D465" s="145"/>
      <c r="E465" s="146"/>
      <c r="N465" s="91"/>
      <c r="O465" s="142"/>
    </row>
    <row r="466" ht="13.5" customHeight="1">
      <c r="A466" s="143"/>
      <c r="B466" s="144"/>
      <c r="C466" s="145"/>
      <c r="D466" s="145"/>
      <c r="E466" s="146"/>
      <c r="N466" s="91"/>
      <c r="O466" s="142"/>
    </row>
    <row r="467" ht="13.5" customHeight="1">
      <c r="A467" s="143"/>
      <c r="B467" s="144"/>
      <c r="C467" s="145"/>
      <c r="D467" s="145"/>
      <c r="E467" s="146"/>
      <c r="N467" s="91"/>
      <c r="O467" s="142"/>
    </row>
    <row r="468" ht="13.5" customHeight="1">
      <c r="A468" s="143"/>
      <c r="B468" s="144"/>
      <c r="C468" s="145"/>
      <c r="D468" s="145"/>
      <c r="E468" s="146"/>
      <c r="N468" s="91"/>
      <c r="O468" s="142"/>
    </row>
    <row r="469" ht="13.5" customHeight="1">
      <c r="A469" s="143"/>
      <c r="B469" s="144"/>
      <c r="C469" s="145"/>
      <c r="D469" s="145"/>
      <c r="E469" s="146"/>
      <c r="N469" s="91"/>
      <c r="O469" s="142"/>
    </row>
    <row r="470" ht="13.5" customHeight="1">
      <c r="A470" s="143"/>
      <c r="B470" s="144"/>
      <c r="C470" s="145"/>
      <c r="D470" s="145"/>
      <c r="E470" s="146"/>
      <c r="N470" s="91"/>
      <c r="O470" s="142"/>
    </row>
    <row r="471" ht="13.5" customHeight="1">
      <c r="A471" s="143"/>
      <c r="B471" s="144"/>
      <c r="C471" s="145"/>
      <c r="D471" s="145"/>
      <c r="E471" s="146"/>
      <c r="N471" s="91"/>
      <c r="O471" s="142"/>
    </row>
    <row r="472" ht="13.5" customHeight="1">
      <c r="A472" s="143"/>
      <c r="B472" s="144"/>
      <c r="C472" s="145"/>
      <c r="D472" s="145"/>
      <c r="E472" s="146"/>
      <c r="N472" s="91"/>
      <c r="O472" s="142"/>
    </row>
    <row r="473" ht="13.5" customHeight="1">
      <c r="A473" s="143"/>
      <c r="B473" s="144"/>
      <c r="C473" s="145"/>
      <c r="D473" s="145"/>
      <c r="E473" s="146"/>
      <c r="N473" s="91"/>
      <c r="O473" s="142"/>
    </row>
    <row r="474" ht="13.5" customHeight="1">
      <c r="A474" s="143"/>
      <c r="B474" s="144"/>
      <c r="C474" s="145"/>
      <c r="D474" s="145"/>
      <c r="E474" s="146"/>
      <c r="N474" s="91"/>
      <c r="O474" s="142"/>
    </row>
    <row r="475" ht="13.5" customHeight="1">
      <c r="A475" s="143"/>
      <c r="B475" s="144"/>
      <c r="C475" s="145"/>
      <c r="D475" s="145"/>
      <c r="E475" s="146"/>
      <c r="N475" s="91"/>
      <c r="O475" s="142"/>
    </row>
    <row r="476" ht="13.5" customHeight="1">
      <c r="A476" s="143"/>
      <c r="B476" s="144"/>
      <c r="C476" s="145"/>
      <c r="D476" s="145"/>
      <c r="E476" s="146"/>
      <c r="N476" s="91"/>
      <c r="O476" s="142"/>
    </row>
    <row r="477" ht="13.5" customHeight="1">
      <c r="A477" s="143"/>
      <c r="B477" s="144"/>
      <c r="C477" s="145"/>
      <c r="D477" s="145"/>
      <c r="E477" s="146"/>
      <c r="N477" s="91"/>
      <c r="O477" s="142"/>
    </row>
    <row r="478" ht="13.5" customHeight="1">
      <c r="A478" s="143"/>
      <c r="B478" s="144"/>
      <c r="C478" s="145"/>
      <c r="D478" s="145"/>
      <c r="E478" s="146"/>
      <c r="N478" s="91"/>
      <c r="O478" s="142"/>
    </row>
    <row r="479" ht="13.5" customHeight="1">
      <c r="A479" s="143"/>
      <c r="B479" s="144"/>
      <c r="C479" s="145"/>
      <c r="D479" s="145"/>
      <c r="E479" s="146"/>
      <c r="N479" s="91"/>
      <c r="O479" s="142"/>
    </row>
    <row r="480" ht="13.5" customHeight="1">
      <c r="A480" s="143"/>
      <c r="B480" s="144"/>
      <c r="C480" s="145"/>
      <c r="D480" s="145"/>
      <c r="E480" s="146"/>
      <c r="N480" s="91"/>
      <c r="O480" s="142"/>
    </row>
    <row r="481" ht="13.5" customHeight="1">
      <c r="A481" s="143"/>
      <c r="B481" s="144"/>
      <c r="C481" s="145"/>
      <c r="D481" s="145"/>
      <c r="E481" s="146"/>
      <c r="N481" s="91"/>
      <c r="O481" s="142"/>
    </row>
    <row r="482" ht="13.5" customHeight="1">
      <c r="A482" s="143"/>
      <c r="B482" s="144"/>
      <c r="C482" s="145"/>
      <c r="D482" s="145"/>
      <c r="E482" s="146"/>
      <c r="N482" s="91"/>
      <c r="O482" s="142"/>
    </row>
    <row r="483" ht="13.5" customHeight="1">
      <c r="A483" s="143"/>
      <c r="B483" s="144"/>
      <c r="C483" s="145"/>
      <c r="D483" s="145"/>
      <c r="E483" s="146"/>
      <c r="N483" s="91"/>
      <c r="O483" s="142"/>
    </row>
    <row r="484" ht="13.5" customHeight="1">
      <c r="A484" s="143"/>
      <c r="B484" s="144"/>
      <c r="C484" s="145"/>
      <c r="D484" s="145"/>
      <c r="E484" s="146"/>
      <c r="N484" s="91"/>
      <c r="O484" s="142"/>
    </row>
    <row r="485" ht="13.5" customHeight="1">
      <c r="A485" s="143"/>
      <c r="B485" s="144"/>
      <c r="C485" s="145"/>
      <c r="D485" s="145"/>
      <c r="E485" s="146"/>
      <c r="N485" s="91"/>
      <c r="O485" s="142"/>
    </row>
    <row r="486" ht="13.5" customHeight="1">
      <c r="A486" s="143"/>
      <c r="B486" s="144"/>
      <c r="C486" s="145"/>
      <c r="D486" s="145"/>
      <c r="E486" s="146"/>
      <c r="N486" s="91"/>
      <c r="O486" s="142"/>
    </row>
    <row r="487" ht="13.5" customHeight="1">
      <c r="A487" s="143"/>
      <c r="B487" s="144"/>
      <c r="C487" s="145"/>
      <c r="D487" s="145"/>
      <c r="E487" s="146"/>
      <c r="N487" s="91"/>
      <c r="O487" s="142"/>
    </row>
    <row r="488" ht="13.5" customHeight="1">
      <c r="A488" s="143"/>
      <c r="B488" s="144"/>
      <c r="C488" s="145"/>
      <c r="D488" s="145"/>
      <c r="E488" s="146"/>
      <c r="N488" s="91"/>
      <c r="O488" s="142"/>
    </row>
    <row r="489" ht="13.5" customHeight="1">
      <c r="A489" s="143"/>
      <c r="B489" s="144"/>
      <c r="C489" s="145"/>
      <c r="D489" s="145"/>
      <c r="E489" s="146"/>
      <c r="N489" s="91"/>
      <c r="O489" s="142"/>
    </row>
    <row r="490" ht="13.5" customHeight="1">
      <c r="A490" s="143"/>
      <c r="B490" s="144"/>
      <c r="C490" s="145"/>
      <c r="D490" s="145"/>
      <c r="E490" s="146"/>
      <c r="N490" s="91"/>
      <c r="O490" s="142"/>
    </row>
    <row r="491" ht="13.5" customHeight="1">
      <c r="A491" s="143"/>
      <c r="B491" s="144"/>
      <c r="C491" s="145"/>
      <c r="D491" s="145"/>
      <c r="E491" s="146"/>
      <c r="N491" s="91"/>
      <c r="O491" s="142"/>
    </row>
    <row r="492" ht="13.5" customHeight="1">
      <c r="A492" s="143"/>
      <c r="B492" s="144"/>
      <c r="C492" s="145"/>
      <c r="D492" s="145"/>
      <c r="E492" s="146"/>
      <c r="N492" s="91"/>
      <c r="O492" s="142"/>
    </row>
    <row r="493" ht="13.5" customHeight="1">
      <c r="A493" s="143"/>
      <c r="B493" s="144"/>
      <c r="C493" s="145"/>
      <c r="D493" s="145"/>
      <c r="E493" s="146"/>
      <c r="N493" s="91"/>
      <c r="O493" s="142"/>
    </row>
    <row r="494" ht="13.5" customHeight="1">
      <c r="A494" s="143"/>
      <c r="B494" s="144"/>
      <c r="C494" s="145"/>
      <c r="D494" s="145"/>
      <c r="E494" s="146"/>
      <c r="N494" s="91"/>
      <c r="O494" s="142"/>
    </row>
    <row r="495" ht="13.5" customHeight="1">
      <c r="A495" s="143"/>
      <c r="B495" s="144"/>
      <c r="C495" s="145"/>
      <c r="D495" s="145"/>
      <c r="E495" s="146"/>
      <c r="N495" s="91"/>
      <c r="O495" s="142"/>
    </row>
    <row r="496" ht="13.5" customHeight="1">
      <c r="A496" s="143"/>
      <c r="B496" s="144"/>
      <c r="C496" s="145"/>
      <c r="D496" s="145"/>
      <c r="E496" s="146"/>
      <c r="N496" s="91"/>
      <c r="O496" s="142"/>
    </row>
    <row r="497" ht="13.5" customHeight="1">
      <c r="A497" s="143"/>
      <c r="B497" s="144"/>
      <c r="C497" s="145"/>
      <c r="D497" s="145"/>
      <c r="E497" s="146"/>
      <c r="N497" s="91"/>
      <c r="O497" s="142"/>
    </row>
    <row r="498" ht="13.5" customHeight="1">
      <c r="A498" s="143"/>
      <c r="B498" s="144"/>
      <c r="C498" s="145"/>
      <c r="D498" s="145"/>
      <c r="E498" s="146"/>
      <c r="N498" s="91"/>
      <c r="O498" s="142"/>
    </row>
    <row r="499" ht="13.5" customHeight="1">
      <c r="A499" s="143"/>
      <c r="B499" s="144"/>
      <c r="C499" s="145"/>
      <c r="D499" s="145"/>
      <c r="E499" s="146"/>
      <c r="N499" s="91"/>
      <c r="O499" s="142"/>
    </row>
    <row r="500" ht="13.5" customHeight="1">
      <c r="A500" s="143"/>
      <c r="B500" s="144"/>
      <c r="C500" s="145"/>
      <c r="D500" s="145"/>
      <c r="E500" s="146"/>
      <c r="N500" s="91"/>
      <c r="O500" s="142"/>
    </row>
    <row r="501" ht="13.5" customHeight="1">
      <c r="A501" s="143"/>
      <c r="B501" s="144"/>
      <c r="C501" s="145"/>
      <c r="D501" s="145"/>
      <c r="E501" s="146"/>
      <c r="N501" s="91"/>
      <c r="O501" s="142"/>
    </row>
    <row r="502" ht="13.5" customHeight="1">
      <c r="A502" s="143"/>
      <c r="B502" s="144"/>
      <c r="C502" s="145"/>
      <c r="D502" s="145"/>
      <c r="E502" s="146"/>
      <c r="N502" s="91"/>
      <c r="O502" s="142"/>
    </row>
    <row r="503" ht="13.5" customHeight="1">
      <c r="A503" s="143"/>
      <c r="B503" s="144"/>
      <c r="C503" s="145"/>
      <c r="D503" s="145"/>
      <c r="E503" s="146"/>
      <c r="N503" s="91"/>
      <c r="O503" s="142"/>
    </row>
    <row r="504" ht="13.5" customHeight="1">
      <c r="A504" s="143"/>
      <c r="B504" s="144"/>
      <c r="C504" s="145"/>
      <c r="D504" s="145"/>
      <c r="E504" s="146"/>
      <c r="N504" s="91"/>
      <c r="O504" s="142"/>
    </row>
    <row r="505" ht="13.5" customHeight="1">
      <c r="A505" s="143"/>
      <c r="B505" s="144"/>
      <c r="C505" s="145"/>
      <c r="D505" s="145"/>
      <c r="E505" s="146"/>
      <c r="N505" s="91"/>
      <c r="O505" s="142"/>
    </row>
    <row r="506" ht="13.5" customHeight="1">
      <c r="A506" s="143"/>
      <c r="B506" s="144"/>
      <c r="C506" s="145"/>
      <c r="D506" s="145"/>
      <c r="E506" s="146"/>
      <c r="N506" s="91"/>
      <c r="O506" s="142"/>
    </row>
    <row r="507" ht="13.5" customHeight="1">
      <c r="A507" s="143"/>
      <c r="B507" s="144"/>
      <c r="C507" s="145"/>
      <c r="D507" s="145"/>
      <c r="E507" s="146"/>
      <c r="N507" s="91"/>
      <c r="O507" s="142"/>
    </row>
    <row r="508" ht="13.5" customHeight="1">
      <c r="A508" s="143"/>
      <c r="B508" s="144"/>
      <c r="C508" s="145"/>
      <c r="D508" s="145"/>
      <c r="E508" s="146"/>
      <c r="N508" s="91"/>
      <c r="O508" s="142"/>
    </row>
    <row r="509" ht="13.5" customHeight="1">
      <c r="A509" s="143"/>
      <c r="B509" s="144"/>
      <c r="C509" s="145"/>
      <c r="D509" s="145"/>
      <c r="E509" s="146"/>
      <c r="N509" s="91"/>
      <c r="O509" s="142"/>
    </row>
    <row r="510" ht="13.5" customHeight="1">
      <c r="A510" s="143"/>
      <c r="B510" s="144"/>
      <c r="C510" s="145"/>
      <c r="D510" s="145"/>
      <c r="E510" s="146"/>
      <c r="N510" s="91"/>
      <c r="O510" s="142"/>
    </row>
    <row r="511" ht="13.5" customHeight="1">
      <c r="A511" s="143"/>
      <c r="B511" s="144"/>
      <c r="C511" s="145"/>
      <c r="D511" s="145"/>
      <c r="E511" s="146"/>
      <c r="N511" s="91"/>
      <c r="O511" s="142"/>
    </row>
    <row r="512" ht="13.5" customHeight="1">
      <c r="A512" s="143"/>
      <c r="B512" s="144"/>
      <c r="C512" s="145"/>
      <c r="D512" s="145"/>
      <c r="E512" s="146"/>
      <c r="N512" s="91"/>
      <c r="O512" s="142"/>
    </row>
    <row r="513" ht="13.5" customHeight="1">
      <c r="A513" s="143"/>
      <c r="B513" s="144"/>
      <c r="C513" s="145"/>
      <c r="D513" s="145"/>
      <c r="E513" s="146"/>
      <c r="N513" s="91"/>
      <c r="O513" s="142"/>
    </row>
    <row r="514" ht="13.5" customHeight="1">
      <c r="A514" s="143"/>
      <c r="B514" s="144"/>
      <c r="C514" s="145"/>
      <c r="D514" s="145"/>
      <c r="E514" s="146"/>
      <c r="N514" s="91"/>
      <c r="O514" s="142"/>
    </row>
    <row r="515" ht="13.5" customHeight="1">
      <c r="A515" s="143"/>
      <c r="B515" s="144"/>
      <c r="C515" s="145"/>
      <c r="D515" s="145"/>
      <c r="E515" s="146"/>
      <c r="N515" s="91"/>
      <c r="O515" s="142"/>
    </row>
    <row r="516" ht="13.5" customHeight="1">
      <c r="A516" s="143"/>
      <c r="B516" s="144"/>
      <c r="C516" s="145"/>
      <c r="D516" s="145"/>
      <c r="E516" s="146"/>
      <c r="N516" s="91"/>
      <c r="O516" s="142"/>
    </row>
    <row r="517" ht="13.5" customHeight="1">
      <c r="A517" s="143"/>
      <c r="B517" s="144"/>
      <c r="C517" s="145"/>
      <c r="D517" s="145"/>
      <c r="E517" s="146"/>
      <c r="N517" s="91"/>
      <c r="O517" s="142"/>
    </row>
    <row r="518" ht="13.5" customHeight="1">
      <c r="A518" s="143"/>
      <c r="B518" s="144"/>
      <c r="C518" s="145"/>
      <c r="D518" s="145"/>
      <c r="E518" s="146"/>
      <c r="N518" s="91"/>
      <c r="O518" s="142"/>
    </row>
    <row r="519" ht="13.5" customHeight="1">
      <c r="A519" s="143"/>
      <c r="B519" s="144"/>
      <c r="C519" s="145"/>
      <c r="D519" s="145"/>
      <c r="E519" s="146"/>
      <c r="N519" s="91"/>
      <c r="O519" s="142"/>
    </row>
    <row r="520" ht="13.5" customHeight="1">
      <c r="A520" s="143"/>
      <c r="B520" s="144"/>
      <c r="C520" s="145"/>
      <c r="D520" s="145"/>
      <c r="E520" s="146"/>
      <c r="N520" s="91"/>
      <c r="O520" s="142"/>
    </row>
    <row r="521" ht="13.5" customHeight="1">
      <c r="A521" s="143"/>
      <c r="B521" s="144"/>
      <c r="C521" s="145"/>
      <c r="D521" s="145"/>
      <c r="E521" s="146"/>
      <c r="N521" s="91"/>
      <c r="O521" s="142"/>
    </row>
    <row r="522" ht="13.5" customHeight="1">
      <c r="A522" s="143"/>
      <c r="B522" s="144"/>
      <c r="C522" s="145"/>
      <c r="D522" s="145"/>
      <c r="E522" s="146"/>
      <c r="N522" s="91"/>
      <c r="O522" s="142"/>
    </row>
    <row r="523" ht="13.5" customHeight="1">
      <c r="A523" s="143"/>
      <c r="B523" s="144"/>
      <c r="C523" s="145"/>
      <c r="D523" s="145"/>
      <c r="E523" s="146"/>
      <c r="N523" s="91"/>
      <c r="O523" s="142"/>
    </row>
    <row r="524" ht="13.5" customHeight="1">
      <c r="A524" s="143"/>
      <c r="B524" s="144"/>
      <c r="C524" s="145"/>
      <c r="D524" s="145"/>
      <c r="E524" s="146"/>
      <c r="N524" s="91"/>
      <c r="O524" s="142"/>
    </row>
    <row r="525" ht="13.5" customHeight="1">
      <c r="A525" s="143"/>
      <c r="B525" s="144"/>
      <c r="C525" s="145"/>
      <c r="D525" s="145"/>
      <c r="E525" s="146"/>
      <c r="N525" s="91"/>
      <c r="O525" s="142"/>
    </row>
    <row r="526" ht="13.5" customHeight="1">
      <c r="A526" s="143"/>
      <c r="B526" s="144"/>
      <c r="C526" s="145"/>
      <c r="D526" s="145"/>
      <c r="E526" s="146"/>
      <c r="N526" s="91"/>
      <c r="O526" s="142"/>
    </row>
    <row r="527" ht="13.5" customHeight="1">
      <c r="A527" s="143"/>
      <c r="B527" s="144"/>
      <c r="C527" s="145"/>
      <c r="D527" s="145"/>
      <c r="E527" s="146"/>
      <c r="N527" s="91"/>
      <c r="O527" s="142"/>
    </row>
    <row r="528" ht="13.5" customHeight="1">
      <c r="A528" s="143"/>
      <c r="B528" s="144"/>
      <c r="C528" s="145"/>
      <c r="D528" s="145"/>
      <c r="E528" s="146"/>
      <c r="N528" s="91"/>
      <c r="O528" s="142"/>
    </row>
    <row r="529" ht="13.5" customHeight="1">
      <c r="A529" s="143"/>
      <c r="B529" s="144"/>
      <c r="C529" s="145"/>
      <c r="D529" s="145"/>
      <c r="E529" s="146"/>
      <c r="N529" s="91"/>
      <c r="O529" s="142"/>
    </row>
    <row r="530" ht="13.5" customHeight="1">
      <c r="A530" s="143"/>
      <c r="B530" s="144"/>
      <c r="C530" s="145"/>
      <c r="D530" s="145"/>
      <c r="E530" s="146"/>
      <c r="N530" s="91"/>
      <c r="O530" s="142"/>
    </row>
    <row r="531" ht="13.5" customHeight="1">
      <c r="A531" s="143"/>
      <c r="B531" s="144"/>
      <c r="C531" s="145"/>
      <c r="D531" s="145"/>
      <c r="E531" s="146"/>
      <c r="N531" s="91"/>
      <c r="O531" s="142"/>
    </row>
    <row r="532" ht="13.5" customHeight="1">
      <c r="A532" s="143"/>
      <c r="B532" s="144"/>
      <c r="C532" s="145"/>
      <c r="D532" s="145"/>
      <c r="E532" s="146"/>
      <c r="N532" s="91"/>
      <c r="O532" s="142"/>
    </row>
    <row r="533" ht="13.5" customHeight="1">
      <c r="A533" s="143"/>
      <c r="B533" s="144"/>
      <c r="C533" s="145"/>
      <c r="D533" s="145"/>
      <c r="E533" s="146"/>
      <c r="N533" s="91"/>
      <c r="O533" s="142"/>
    </row>
    <row r="534" ht="13.5" customHeight="1">
      <c r="A534" s="143"/>
      <c r="B534" s="144"/>
      <c r="C534" s="145"/>
      <c r="D534" s="145"/>
      <c r="E534" s="146"/>
      <c r="N534" s="91"/>
      <c r="O534" s="142"/>
    </row>
    <row r="535" ht="13.5" customHeight="1">
      <c r="A535" s="143"/>
      <c r="B535" s="144"/>
      <c r="C535" s="145"/>
      <c r="D535" s="145"/>
      <c r="E535" s="146"/>
      <c r="N535" s="91"/>
      <c r="O535" s="142"/>
    </row>
    <row r="536" ht="13.5" customHeight="1">
      <c r="A536" s="143"/>
      <c r="B536" s="144"/>
      <c r="C536" s="145"/>
      <c r="D536" s="145"/>
      <c r="E536" s="146"/>
      <c r="N536" s="91"/>
      <c r="O536" s="142"/>
    </row>
    <row r="537" ht="13.5" customHeight="1">
      <c r="A537" s="143"/>
      <c r="B537" s="144"/>
      <c r="C537" s="145"/>
      <c r="D537" s="145"/>
      <c r="E537" s="146"/>
      <c r="N537" s="91"/>
      <c r="O537" s="142"/>
    </row>
    <row r="538" ht="13.5" customHeight="1">
      <c r="A538" s="143"/>
      <c r="B538" s="144"/>
      <c r="C538" s="145"/>
      <c r="D538" s="145"/>
      <c r="E538" s="146"/>
      <c r="N538" s="91"/>
      <c r="O538" s="142"/>
    </row>
    <row r="539" ht="13.5" customHeight="1">
      <c r="A539" s="143"/>
      <c r="B539" s="144"/>
      <c r="C539" s="145"/>
      <c r="D539" s="145"/>
      <c r="E539" s="146"/>
      <c r="N539" s="91"/>
      <c r="O539" s="142"/>
    </row>
    <row r="540" ht="13.5" customHeight="1">
      <c r="A540" s="143"/>
      <c r="B540" s="144"/>
      <c r="C540" s="145"/>
      <c r="D540" s="145"/>
      <c r="E540" s="146"/>
      <c r="N540" s="91"/>
      <c r="O540" s="142"/>
    </row>
    <row r="541" ht="13.5" customHeight="1">
      <c r="A541" s="143"/>
      <c r="B541" s="144"/>
      <c r="C541" s="145"/>
      <c r="D541" s="145"/>
      <c r="E541" s="146"/>
      <c r="N541" s="91"/>
      <c r="O541" s="142"/>
    </row>
    <row r="542" ht="13.5" customHeight="1">
      <c r="A542" s="143"/>
      <c r="B542" s="144"/>
      <c r="C542" s="145"/>
      <c r="D542" s="145"/>
      <c r="E542" s="146"/>
      <c r="N542" s="91"/>
      <c r="O542" s="142"/>
    </row>
    <row r="543" ht="13.5" customHeight="1">
      <c r="A543" s="143"/>
      <c r="B543" s="144"/>
      <c r="C543" s="145"/>
      <c r="D543" s="145"/>
      <c r="E543" s="146"/>
      <c r="N543" s="91"/>
      <c r="O543" s="142"/>
    </row>
    <row r="544" ht="13.5" customHeight="1">
      <c r="A544" s="143"/>
      <c r="B544" s="144"/>
      <c r="C544" s="145"/>
      <c r="D544" s="145"/>
      <c r="E544" s="146"/>
      <c r="N544" s="91"/>
      <c r="O544" s="142"/>
    </row>
    <row r="545" ht="13.5" customHeight="1">
      <c r="A545" s="143"/>
      <c r="B545" s="144"/>
      <c r="C545" s="145"/>
      <c r="D545" s="145"/>
      <c r="E545" s="146"/>
      <c r="N545" s="91"/>
      <c r="O545" s="142"/>
    </row>
    <row r="546" ht="13.5" customHeight="1">
      <c r="A546" s="143"/>
      <c r="B546" s="144"/>
      <c r="C546" s="145"/>
      <c r="D546" s="145"/>
      <c r="E546" s="146"/>
      <c r="N546" s="91"/>
      <c r="O546" s="142"/>
    </row>
    <row r="547" ht="13.5" customHeight="1">
      <c r="A547" s="143"/>
      <c r="B547" s="144"/>
      <c r="C547" s="145"/>
      <c r="D547" s="145"/>
      <c r="E547" s="146"/>
      <c r="N547" s="91"/>
      <c r="O547" s="142"/>
    </row>
    <row r="548" ht="13.5" customHeight="1">
      <c r="A548" s="143"/>
      <c r="B548" s="144"/>
      <c r="C548" s="145"/>
      <c r="D548" s="145"/>
      <c r="E548" s="146"/>
      <c r="N548" s="91"/>
      <c r="O548" s="142"/>
    </row>
    <row r="549" ht="13.5" customHeight="1">
      <c r="A549" s="143"/>
      <c r="B549" s="144"/>
      <c r="C549" s="145"/>
      <c r="D549" s="145"/>
      <c r="E549" s="146"/>
      <c r="N549" s="91"/>
      <c r="O549" s="142"/>
    </row>
    <row r="550" ht="13.5" customHeight="1">
      <c r="A550" s="143"/>
      <c r="B550" s="144"/>
      <c r="C550" s="145"/>
      <c r="D550" s="145"/>
      <c r="E550" s="146"/>
      <c r="N550" s="91"/>
      <c r="O550" s="142"/>
    </row>
    <row r="551" ht="13.5" customHeight="1">
      <c r="A551" s="143"/>
      <c r="B551" s="144"/>
      <c r="C551" s="145"/>
      <c r="D551" s="145"/>
      <c r="E551" s="146"/>
      <c r="N551" s="91"/>
      <c r="O551" s="142"/>
    </row>
    <row r="552" ht="13.5" customHeight="1">
      <c r="A552" s="143"/>
      <c r="B552" s="144"/>
      <c r="C552" s="145"/>
      <c r="D552" s="145"/>
      <c r="E552" s="146"/>
      <c r="N552" s="91"/>
      <c r="O552" s="142"/>
    </row>
    <row r="553" ht="13.5" customHeight="1">
      <c r="A553" s="143"/>
      <c r="B553" s="144"/>
      <c r="C553" s="145"/>
      <c r="D553" s="145"/>
      <c r="E553" s="146"/>
      <c r="N553" s="91"/>
      <c r="O553" s="142"/>
    </row>
    <row r="554" ht="13.5" customHeight="1">
      <c r="A554" s="143"/>
      <c r="B554" s="144"/>
      <c r="C554" s="145"/>
      <c r="D554" s="145"/>
      <c r="E554" s="146"/>
      <c r="N554" s="91"/>
      <c r="O554" s="142"/>
    </row>
    <row r="555" ht="13.5" customHeight="1">
      <c r="A555" s="143"/>
      <c r="B555" s="144"/>
      <c r="C555" s="145"/>
      <c r="D555" s="145"/>
      <c r="E555" s="146"/>
      <c r="N555" s="91"/>
      <c r="O555" s="142"/>
    </row>
    <row r="556" ht="13.5" customHeight="1">
      <c r="A556" s="143"/>
      <c r="B556" s="144"/>
      <c r="C556" s="145"/>
      <c r="D556" s="145"/>
      <c r="E556" s="146"/>
      <c r="N556" s="91"/>
      <c r="O556" s="142"/>
    </row>
    <row r="557" ht="13.5" customHeight="1">
      <c r="A557" s="143"/>
      <c r="B557" s="144"/>
      <c r="C557" s="145"/>
      <c r="D557" s="145"/>
      <c r="E557" s="146"/>
      <c r="N557" s="91"/>
      <c r="O557" s="142"/>
    </row>
    <row r="558" ht="13.5" customHeight="1">
      <c r="A558" s="143"/>
      <c r="B558" s="144"/>
      <c r="C558" s="145"/>
      <c r="D558" s="145"/>
      <c r="E558" s="146"/>
      <c r="N558" s="91"/>
      <c r="O558" s="142"/>
    </row>
    <row r="559" ht="13.5" customHeight="1">
      <c r="A559" s="143"/>
      <c r="B559" s="144"/>
      <c r="C559" s="145"/>
      <c r="D559" s="145"/>
      <c r="E559" s="146"/>
      <c r="N559" s="91"/>
      <c r="O559" s="142"/>
    </row>
    <row r="560" ht="13.5" customHeight="1">
      <c r="A560" s="143"/>
      <c r="B560" s="144"/>
      <c r="C560" s="145"/>
      <c r="D560" s="145"/>
      <c r="E560" s="146"/>
      <c r="N560" s="91"/>
      <c r="O560" s="142"/>
    </row>
    <row r="561" ht="13.5" customHeight="1">
      <c r="A561" s="143"/>
      <c r="B561" s="144"/>
      <c r="C561" s="145"/>
      <c r="D561" s="145"/>
      <c r="E561" s="146"/>
      <c r="N561" s="91"/>
      <c r="O561" s="142"/>
    </row>
    <row r="562" ht="13.5" customHeight="1">
      <c r="A562" s="143"/>
      <c r="B562" s="144"/>
      <c r="C562" s="145"/>
      <c r="D562" s="145"/>
      <c r="E562" s="146"/>
      <c r="N562" s="91"/>
      <c r="O562" s="142"/>
    </row>
    <row r="563" ht="13.5" customHeight="1">
      <c r="A563" s="143"/>
      <c r="B563" s="144"/>
      <c r="C563" s="145"/>
      <c r="D563" s="145"/>
      <c r="E563" s="146"/>
      <c r="N563" s="91"/>
      <c r="O563" s="142"/>
    </row>
    <row r="564" ht="13.5" customHeight="1">
      <c r="A564" s="143"/>
      <c r="B564" s="144"/>
      <c r="C564" s="145"/>
      <c r="D564" s="145"/>
      <c r="E564" s="146"/>
      <c r="N564" s="91"/>
      <c r="O564" s="142"/>
    </row>
    <row r="565" ht="13.5" customHeight="1">
      <c r="A565" s="143"/>
      <c r="B565" s="144"/>
      <c r="C565" s="145"/>
      <c r="D565" s="145"/>
      <c r="E565" s="146"/>
      <c r="N565" s="91"/>
      <c r="O565" s="142"/>
    </row>
    <row r="566" ht="13.5" customHeight="1">
      <c r="A566" s="143"/>
      <c r="B566" s="144"/>
      <c r="C566" s="145"/>
      <c r="D566" s="145"/>
      <c r="E566" s="146"/>
      <c r="N566" s="91"/>
      <c r="O566" s="142"/>
    </row>
    <row r="567" ht="13.5" customHeight="1">
      <c r="A567" s="143"/>
      <c r="B567" s="144"/>
      <c r="C567" s="145"/>
      <c r="D567" s="145"/>
      <c r="E567" s="146"/>
      <c r="N567" s="91"/>
      <c r="O567" s="142"/>
    </row>
    <row r="568" ht="13.5" customHeight="1">
      <c r="A568" s="143"/>
      <c r="B568" s="144"/>
      <c r="C568" s="145"/>
      <c r="D568" s="145"/>
      <c r="E568" s="146"/>
      <c r="N568" s="91"/>
      <c r="O568" s="142"/>
    </row>
    <row r="569" ht="13.5" customHeight="1">
      <c r="A569" s="143"/>
      <c r="B569" s="144"/>
      <c r="C569" s="145"/>
      <c r="D569" s="145"/>
      <c r="E569" s="146"/>
      <c r="N569" s="91"/>
      <c r="O569" s="142"/>
    </row>
    <row r="570" ht="13.5" customHeight="1">
      <c r="A570" s="143"/>
      <c r="B570" s="144"/>
      <c r="C570" s="145"/>
      <c r="D570" s="145"/>
      <c r="E570" s="146"/>
      <c r="N570" s="91"/>
      <c r="O570" s="142"/>
    </row>
    <row r="571" ht="13.5" customHeight="1">
      <c r="A571" s="143"/>
      <c r="B571" s="144"/>
      <c r="C571" s="145"/>
      <c r="D571" s="145"/>
      <c r="E571" s="146"/>
      <c r="N571" s="91"/>
      <c r="O571" s="142"/>
    </row>
    <row r="572" ht="13.5" customHeight="1">
      <c r="A572" s="143"/>
      <c r="B572" s="144"/>
      <c r="C572" s="145"/>
      <c r="D572" s="145"/>
      <c r="E572" s="146"/>
      <c r="N572" s="91"/>
      <c r="O572" s="142"/>
    </row>
    <row r="573" ht="13.5" customHeight="1">
      <c r="A573" s="143"/>
      <c r="B573" s="144"/>
      <c r="C573" s="145"/>
      <c r="D573" s="145"/>
      <c r="E573" s="146"/>
      <c r="N573" s="91"/>
      <c r="O573" s="142"/>
    </row>
    <row r="574" ht="13.5" customHeight="1">
      <c r="A574" s="143"/>
      <c r="B574" s="144"/>
      <c r="C574" s="145"/>
      <c r="D574" s="145"/>
      <c r="E574" s="146"/>
      <c r="N574" s="91"/>
      <c r="O574" s="142"/>
    </row>
    <row r="575" ht="13.5" customHeight="1">
      <c r="A575" s="143"/>
      <c r="B575" s="144"/>
      <c r="C575" s="145"/>
      <c r="D575" s="145"/>
      <c r="E575" s="146"/>
      <c r="N575" s="91"/>
      <c r="O575" s="142"/>
    </row>
    <row r="576" ht="13.5" customHeight="1">
      <c r="A576" s="143"/>
      <c r="B576" s="144"/>
      <c r="C576" s="145"/>
      <c r="D576" s="145"/>
      <c r="E576" s="146"/>
      <c r="N576" s="91"/>
      <c r="O576" s="142"/>
    </row>
    <row r="577" ht="13.5" customHeight="1">
      <c r="A577" s="143"/>
      <c r="B577" s="144"/>
      <c r="C577" s="145"/>
      <c r="D577" s="145"/>
      <c r="E577" s="146"/>
      <c r="N577" s="91"/>
      <c r="O577" s="142"/>
    </row>
    <row r="578" ht="13.5" customHeight="1">
      <c r="A578" s="143"/>
      <c r="B578" s="144"/>
      <c r="C578" s="145"/>
      <c r="D578" s="145"/>
      <c r="E578" s="146"/>
      <c r="N578" s="91"/>
      <c r="O578" s="142"/>
    </row>
    <row r="579" ht="13.5" customHeight="1">
      <c r="A579" s="143"/>
      <c r="B579" s="144"/>
      <c r="C579" s="145"/>
      <c r="D579" s="145"/>
      <c r="E579" s="146"/>
      <c r="N579" s="91"/>
      <c r="O579" s="142"/>
    </row>
    <row r="580" ht="13.5" customHeight="1">
      <c r="A580" s="143"/>
      <c r="B580" s="144"/>
      <c r="C580" s="145"/>
      <c r="D580" s="145"/>
      <c r="E580" s="146"/>
      <c r="N580" s="91"/>
      <c r="O580" s="142"/>
    </row>
    <row r="581" ht="13.5" customHeight="1">
      <c r="A581" s="143"/>
      <c r="B581" s="144"/>
      <c r="C581" s="145"/>
      <c r="D581" s="145"/>
      <c r="E581" s="146"/>
      <c r="N581" s="91"/>
      <c r="O581" s="142"/>
    </row>
    <row r="582" ht="13.5" customHeight="1">
      <c r="A582" s="143"/>
      <c r="B582" s="144"/>
      <c r="C582" s="145"/>
      <c r="D582" s="145"/>
      <c r="E582" s="146"/>
      <c r="N582" s="91"/>
      <c r="O582" s="142"/>
    </row>
    <row r="583" ht="13.5" customHeight="1">
      <c r="A583" s="143"/>
      <c r="B583" s="144"/>
      <c r="C583" s="145"/>
      <c r="D583" s="145"/>
      <c r="E583" s="146"/>
      <c r="N583" s="91"/>
      <c r="O583" s="142"/>
    </row>
    <row r="584" ht="13.5" customHeight="1">
      <c r="A584" s="143"/>
      <c r="B584" s="144"/>
      <c r="C584" s="145"/>
      <c r="D584" s="145"/>
      <c r="E584" s="146"/>
      <c r="N584" s="91"/>
      <c r="O584" s="142"/>
    </row>
    <row r="585" ht="13.5" customHeight="1">
      <c r="A585" s="143"/>
      <c r="B585" s="144"/>
      <c r="C585" s="145"/>
      <c r="D585" s="145"/>
      <c r="E585" s="146"/>
      <c r="N585" s="91"/>
      <c r="O585" s="142"/>
    </row>
    <row r="586" ht="13.5" customHeight="1">
      <c r="A586" s="143"/>
      <c r="B586" s="144"/>
      <c r="C586" s="145"/>
      <c r="D586" s="145"/>
      <c r="E586" s="146"/>
      <c r="N586" s="91"/>
      <c r="O586" s="142"/>
    </row>
    <row r="587" ht="13.5" customHeight="1">
      <c r="A587" s="143"/>
      <c r="B587" s="144"/>
      <c r="C587" s="145"/>
      <c r="D587" s="145"/>
      <c r="E587" s="146"/>
      <c r="N587" s="91"/>
      <c r="O587" s="142"/>
    </row>
    <row r="588" ht="13.5" customHeight="1">
      <c r="A588" s="143"/>
      <c r="B588" s="144"/>
      <c r="C588" s="145"/>
      <c r="D588" s="145"/>
      <c r="E588" s="146"/>
      <c r="N588" s="91"/>
      <c r="O588" s="142"/>
    </row>
    <row r="589" ht="13.5" customHeight="1">
      <c r="A589" s="143"/>
      <c r="B589" s="144"/>
      <c r="C589" s="145"/>
      <c r="D589" s="145"/>
      <c r="E589" s="146"/>
      <c r="N589" s="91"/>
      <c r="O589" s="142"/>
    </row>
    <row r="590" ht="13.5" customHeight="1">
      <c r="A590" s="143"/>
      <c r="B590" s="144"/>
      <c r="C590" s="145"/>
      <c r="D590" s="145"/>
      <c r="E590" s="146"/>
      <c r="N590" s="91"/>
      <c r="O590" s="142"/>
    </row>
    <row r="591" ht="13.5" customHeight="1">
      <c r="A591" s="143"/>
      <c r="B591" s="144"/>
      <c r="C591" s="145"/>
      <c r="D591" s="145"/>
      <c r="E591" s="146"/>
      <c r="N591" s="91"/>
      <c r="O591" s="142"/>
    </row>
    <row r="592" ht="13.5" customHeight="1">
      <c r="A592" s="143"/>
      <c r="B592" s="144"/>
      <c r="C592" s="145"/>
      <c r="D592" s="145"/>
      <c r="E592" s="146"/>
      <c r="N592" s="91"/>
      <c r="O592" s="142"/>
    </row>
    <row r="593" ht="13.5" customHeight="1">
      <c r="A593" s="143"/>
      <c r="B593" s="144"/>
      <c r="C593" s="145"/>
      <c r="D593" s="145"/>
      <c r="E593" s="146"/>
      <c r="N593" s="91"/>
      <c r="O593" s="142"/>
    </row>
    <row r="594" ht="13.5" customHeight="1">
      <c r="A594" s="143"/>
      <c r="B594" s="144"/>
      <c r="C594" s="145"/>
      <c r="D594" s="145"/>
      <c r="E594" s="146"/>
      <c r="N594" s="91"/>
      <c r="O594" s="142"/>
    </row>
    <row r="595" ht="13.5" customHeight="1">
      <c r="A595" s="143"/>
      <c r="B595" s="144"/>
      <c r="C595" s="145"/>
      <c r="D595" s="145"/>
      <c r="E595" s="146"/>
      <c r="N595" s="91"/>
      <c r="O595" s="142"/>
    </row>
    <row r="596" ht="13.5" customHeight="1">
      <c r="A596" s="143"/>
      <c r="B596" s="144"/>
      <c r="C596" s="145"/>
      <c r="D596" s="145"/>
      <c r="E596" s="146"/>
      <c r="N596" s="91"/>
      <c r="O596" s="142"/>
    </row>
    <row r="597" ht="13.5" customHeight="1">
      <c r="A597" s="143"/>
      <c r="B597" s="144"/>
      <c r="C597" s="145"/>
      <c r="D597" s="145"/>
      <c r="E597" s="146"/>
      <c r="N597" s="91"/>
      <c r="O597" s="142"/>
    </row>
    <row r="598" ht="13.5" customHeight="1">
      <c r="A598" s="143"/>
      <c r="B598" s="144"/>
      <c r="C598" s="145"/>
      <c r="D598" s="145"/>
      <c r="E598" s="146"/>
      <c r="N598" s="91"/>
      <c r="O598" s="142"/>
    </row>
    <row r="599" ht="13.5" customHeight="1">
      <c r="A599" s="143"/>
      <c r="B599" s="144"/>
      <c r="C599" s="145"/>
      <c r="D599" s="145"/>
      <c r="E599" s="146"/>
      <c r="N599" s="91"/>
      <c r="O599" s="142"/>
    </row>
    <row r="600" ht="13.5" customHeight="1">
      <c r="A600" s="143"/>
      <c r="B600" s="144"/>
      <c r="C600" s="145"/>
      <c r="D600" s="145"/>
      <c r="E600" s="146"/>
      <c r="N600" s="91"/>
      <c r="O600" s="142"/>
    </row>
    <row r="601" ht="13.5" customHeight="1">
      <c r="A601" s="143"/>
      <c r="B601" s="144"/>
      <c r="C601" s="145"/>
      <c r="D601" s="145"/>
      <c r="E601" s="146"/>
      <c r="N601" s="91"/>
      <c r="O601" s="142"/>
    </row>
    <row r="602" ht="13.5" customHeight="1">
      <c r="A602" s="143"/>
      <c r="B602" s="144"/>
      <c r="C602" s="145"/>
      <c r="D602" s="145"/>
      <c r="E602" s="146"/>
      <c r="N602" s="91"/>
      <c r="O602" s="142"/>
    </row>
    <row r="603" ht="13.5" customHeight="1">
      <c r="A603" s="143"/>
      <c r="B603" s="144"/>
      <c r="C603" s="145"/>
      <c r="D603" s="145"/>
      <c r="E603" s="146"/>
      <c r="N603" s="91"/>
      <c r="O603" s="142"/>
    </row>
    <row r="604" ht="13.5" customHeight="1">
      <c r="A604" s="143"/>
      <c r="B604" s="144"/>
      <c r="C604" s="145"/>
      <c r="D604" s="145"/>
      <c r="E604" s="146"/>
      <c r="N604" s="91"/>
      <c r="O604" s="142"/>
    </row>
    <row r="605" ht="13.5" customHeight="1">
      <c r="A605" s="143"/>
      <c r="B605" s="144"/>
      <c r="C605" s="145"/>
      <c r="D605" s="145"/>
      <c r="E605" s="146"/>
      <c r="N605" s="91"/>
      <c r="O605" s="142"/>
    </row>
    <row r="606" ht="13.5" customHeight="1">
      <c r="A606" s="143"/>
      <c r="B606" s="144"/>
      <c r="C606" s="145"/>
      <c r="D606" s="145"/>
      <c r="E606" s="146"/>
      <c r="N606" s="91"/>
      <c r="O606" s="142"/>
    </row>
    <row r="607" ht="13.5" customHeight="1">
      <c r="A607" s="143"/>
      <c r="B607" s="144"/>
      <c r="C607" s="145"/>
      <c r="D607" s="145"/>
      <c r="E607" s="146"/>
      <c r="N607" s="91"/>
      <c r="O607" s="142"/>
    </row>
    <row r="608" ht="13.5" customHeight="1">
      <c r="A608" s="143"/>
      <c r="B608" s="144"/>
      <c r="C608" s="145"/>
      <c r="D608" s="145"/>
      <c r="E608" s="146"/>
      <c r="N608" s="91"/>
      <c r="O608" s="142"/>
    </row>
    <row r="609" ht="13.5" customHeight="1">
      <c r="A609" s="143"/>
      <c r="B609" s="144"/>
      <c r="C609" s="145"/>
      <c r="D609" s="145"/>
      <c r="E609" s="146"/>
      <c r="N609" s="91"/>
      <c r="O609" s="142"/>
    </row>
    <row r="610" ht="13.5" customHeight="1">
      <c r="A610" s="143"/>
      <c r="B610" s="144"/>
      <c r="C610" s="145"/>
      <c r="D610" s="145"/>
      <c r="E610" s="146"/>
      <c r="N610" s="91"/>
      <c r="O610" s="142"/>
    </row>
    <row r="611" ht="13.5" customHeight="1">
      <c r="A611" s="143"/>
      <c r="B611" s="144"/>
      <c r="C611" s="145"/>
      <c r="D611" s="145"/>
      <c r="E611" s="146"/>
      <c r="N611" s="91"/>
      <c r="O611" s="142"/>
    </row>
    <row r="612" ht="13.5" customHeight="1">
      <c r="A612" s="143"/>
      <c r="B612" s="144"/>
      <c r="C612" s="145"/>
      <c r="D612" s="145"/>
      <c r="E612" s="146"/>
      <c r="N612" s="91"/>
      <c r="O612" s="142"/>
    </row>
    <row r="613" ht="13.5" customHeight="1">
      <c r="A613" s="143"/>
      <c r="B613" s="144"/>
      <c r="C613" s="145"/>
      <c r="D613" s="145"/>
      <c r="E613" s="146"/>
      <c r="N613" s="91"/>
      <c r="O613" s="142"/>
    </row>
    <row r="614" ht="13.5" customHeight="1">
      <c r="A614" s="143"/>
      <c r="B614" s="144"/>
      <c r="C614" s="145"/>
      <c r="D614" s="145"/>
      <c r="E614" s="146"/>
      <c r="N614" s="91"/>
      <c r="O614" s="142"/>
    </row>
    <row r="615" ht="13.5" customHeight="1">
      <c r="A615" s="143"/>
      <c r="B615" s="144"/>
      <c r="C615" s="145"/>
      <c r="D615" s="145"/>
      <c r="E615" s="146"/>
      <c r="N615" s="91"/>
      <c r="O615" s="142"/>
    </row>
    <row r="616" ht="13.5" customHeight="1">
      <c r="A616" s="143"/>
      <c r="B616" s="144"/>
      <c r="C616" s="145"/>
      <c r="D616" s="145"/>
      <c r="E616" s="146"/>
      <c r="N616" s="91"/>
      <c r="O616" s="142"/>
    </row>
    <row r="617" ht="13.5" customHeight="1">
      <c r="A617" s="143"/>
      <c r="B617" s="144"/>
      <c r="C617" s="145"/>
      <c r="D617" s="145"/>
      <c r="E617" s="146"/>
      <c r="N617" s="91"/>
      <c r="O617" s="142"/>
    </row>
    <row r="618" ht="13.5" customHeight="1">
      <c r="A618" s="143"/>
      <c r="B618" s="144"/>
      <c r="C618" s="145"/>
      <c r="D618" s="145"/>
      <c r="E618" s="146"/>
      <c r="N618" s="91"/>
      <c r="O618" s="142"/>
    </row>
    <row r="619" ht="13.5" customHeight="1">
      <c r="A619" s="143"/>
      <c r="B619" s="144"/>
      <c r="C619" s="145"/>
      <c r="D619" s="145"/>
      <c r="E619" s="146"/>
      <c r="N619" s="91"/>
      <c r="O619" s="142"/>
    </row>
    <row r="620" ht="13.5" customHeight="1">
      <c r="A620" s="143"/>
      <c r="B620" s="144"/>
      <c r="C620" s="145"/>
      <c r="D620" s="145"/>
      <c r="E620" s="146"/>
      <c r="N620" s="91"/>
      <c r="O620" s="142"/>
    </row>
    <row r="621" ht="13.5" customHeight="1">
      <c r="A621" s="143"/>
      <c r="B621" s="144"/>
      <c r="C621" s="145"/>
      <c r="D621" s="145"/>
      <c r="E621" s="146"/>
      <c r="N621" s="91"/>
      <c r="O621" s="142"/>
    </row>
    <row r="622" ht="13.5" customHeight="1">
      <c r="A622" s="143"/>
      <c r="B622" s="144"/>
      <c r="C622" s="145"/>
      <c r="D622" s="145"/>
      <c r="E622" s="146"/>
      <c r="N622" s="91"/>
      <c r="O622" s="142"/>
    </row>
    <row r="623" ht="13.5" customHeight="1">
      <c r="A623" s="143"/>
      <c r="B623" s="144"/>
      <c r="C623" s="145"/>
      <c r="D623" s="145"/>
      <c r="E623" s="146"/>
      <c r="N623" s="91"/>
      <c r="O623" s="142"/>
    </row>
    <row r="624" ht="13.5" customHeight="1">
      <c r="A624" s="143"/>
      <c r="B624" s="144"/>
      <c r="C624" s="145"/>
      <c r="D624" s="145"/>
      <c r="E624" s="146"/>
      <c r="N624" s="91"/>
      <c r="O624" s="142"/>
    </row>
    <row r="625" ht="13.5" customHeight="1">
      <c r="A625" s="143"/>
      <c r="B625" s="144"/>
      <c r="C625" s="145"/>
      <c r="D625" s="145"/>
      <c r="E625" s="146"/>
      <c r="N625" s="91"/>
      <c r="O625" s="142"/>
    </row>
    <row r="626" ht="13.5" customHeight="1">
      <c r="A626" s="143"/>
      <c r="B626" s="144"/>
      <c r="C626" s="145"/>
      <c r="D626" s="145"/>
      <c r="E626" s="146"/>
      <c r="N626" s="91"/>
      <c r="O626" s="142"/>
    </row>
    <row r="627" ht="13.5" customHeight="1">
      <c r="A627" s="143"/>
      <c r="B627" s="144"/>
      <c r="C627" s="145"/>
      <c r="D627" s="145"/>
      <c r="E627" s="146"/>
      <c r="N627" s="91"/>
      <c r="O627" s="142"/>
    </row>
    <row r="628" ht="13.5" customHeight="1">
      <c r="A628" s="143"/>
      <c r="B628" s="144"/>
      <c r="C628" s="145"/>
      <c r="D628" s="145"/>
      <c r="E628" s="146"/>
      <c r="N628" s="91"/>
      <c r="O628" s="142"/>
    </row>
    <row r="629" ht="13.5" customHeight="1">
      <c r="A629" s="143"/>
      <c r="B629" s="144"/>
      <c r="C629" s="145"/>
      <c r="D629" s="145"/>
      <c r="E629" s="146"/>
      <c r="N629" s="91"/>
      <c r="O629" s="142"/>
    </row>
    <row r="630" ht="13.5" customHeight="1">
      <c r="A630" s="143"/>
      <c r="B630" s="144"/>
      <c r="C630" s="145"/>
      <c r="D630" s="145"/>
      <c r="E630" s="146"/>
      <c r="N630" s="91"/>
      <c r="O630" s="142"/>
    </row>
    <row r="631" ht="13.5" customHeight="1">
      <c r="A631" s="143"/>
      <c r="B631" s="144"/>
      <c r="C631" s="145"/>
      <c r="D631" s="145"/>
      <c r="E631" s="146"/>
      <c r="N631" s="91"/>
      <c r="O631" s="142"/>
    </row>
    <row r="632" ht="13.5" customHeight="1">
      <c r="A632" s="143"/>
      <c r="B632" s="144"/>
      <c r="C632" s="145"/>
      <c r="D632" s="145"/>
      <c r="E632" s="146"/>
      <c r="N632" s="91"/>
      <c r="O632" s="142"/>
    </row>
    <row r="633" ht="13.5" customHeight="1">
      <c r="A633" s="143"/>
      <c r="B633" s="144"/>
      <c r="C633" s="145"/>
      <c r="D633" s="145"/>
      <c r="E633" s="146"/>
      <c r="N633" s="91"/>
      <c r="O633" s="142"/>
    </row>
    <row r="634" ht="13.5" customHeight="1">
      <c r="A634" s="143"/>
      <c r="B634" s="144"/>
      <c r="C634" s="145"/>
      <c r="D634" s="145"/>
      <c r="E634" s="146"/>
      <c r="N634" s="91"/>
      <c r="O634" s="142"/>
    </row>
    <row r="635" ht="13.5" customHeight="1">
      <c r="A635" s="143"/>
      <c r="B635" s="144"/>
      <c r="C635" s="145"/>
      <c r="D635" s="145"/>
      <c r="E635" s="146"/>
      <c r="N635" s="91"/>
      <c r="O635" s="142"/>
    </row>
    <row r="636" ht="13.5" customHeight="1">
      <c r="A636" s="143"/>
      <c r="B636" s="144"/>
      <c r="C636" s="145"/>
      <c r="D636" s="145"/>
      <c r="E636" s="146"/>
      <c r="N636" s="91"/>
      <c r="O636" s="142"/>
    </row>
    <row r="637" ht="13.5" customHeight="1">
      <c r="A637" s="143"/>
      <c r="B637" s="144"/>
      <c r="C637" s="145"/>
      <c r="D637" s="145"/>
      <c r="E637" s="146"/>
      <c r="N637" s="91"/>
      <c r="O637" s="142"/>
    </row>
    <row r="638" ht="13.5" customHeight="1">
      <c r="A638" s="143"/>
      <c r="B638" s="144"/>
      <c r="C638" s="145"/>
      <c r="D638" s="145"/>
      <c r="E638" s="146"/>
      <c r="N638" s="91"/>
      <c r="O638" s="142"/>
    </row>
    <row r="639" ht="13.5" customHeight="1">
      <c r="A639" s="143"/>
      <c r="B639" s="144"/>
      <c r="C639" s="145"/>
      <c r="D639" s="145"/>
      <c r="E639" s="146"/>
      <c r="N639" s="91"/>
      <c r="O639" s="142"/>
    </row>
    <row r="640" ht="13.5" customHeight="1">
      <c r="A640" s="143"/>
      <c r="B640" s="144"/>
      <c r="C640" s="145"/>
      <c r="D640" s="145"/>
      <c r="E640" s="146"/>
      <c r="N640" s="91"/>
      <c r="O640" s="142"/>
    </row>
    <row r="641" ht="13.5" customHeight="1">
      <c r="A641" s="143"/>
      <c r="B641" s="144"/>
      <c r="C641" s="145"/>
      <c r="D641" s="145"/>
      <c r="E641" s="146"/>
      <c r="N641" s="91"/>
      <c r="O641" s="142"/>
    </row>
    <row r="642" ht="13.5" customHeight="1">
      <c r="A642" s="143"/>
      <c r="B642" s="144"/>
      <c r="C642" s="145"/>
      <c r="D642" s="145"/>
      <c r="E642" s="146"/>
      <c r="N642" s="91"/>
      <c r="O642" s="142"/>
    </row>
    <row r="643" ht="13.5" customHeight="1">
      <c r="A643" s="143"/>
      <c r="B643" s="144"/>
      <c r="C643" s="145"/>
      <c r="D643" s="145"/>
      <c r="E643" s="146"/>
      <c r="N643" s="91"/>
      <c r="O643" s="142"/>
    </row>
    <row r="644" ht="13.5" customHeight="1">
      <c r="A644" s="143"/>
      <c r="B644" s="144"/>
      <c r="C644" s="145"/>
      <c r="D644" s="145"/>
      <c r="E644" s="146"/>
      <c r="N644" s="91"/>
      <c r="O644" s="142"/>
    </row>
    <row r="645" ht="13.5" customHeight="1">
      <c r="A645" s="143"/>
      <c r="B645" s="144"/>
      <c r="C645" s="145"/>
      <c r="D645" s="145"/>
      <c r="E645" s="146"/>
      <c r="N645" s="91"/>
      <c r="O645" s="142"/>
    </row>
    <row r="646" ht="13.5" customHeight="1">
      <c r="A646" s="143"/>
      <c r="B646" s="144"/>
      <c r="C646" s="145"/>
      <c r="D646" s="145"/>
      <c r="E646" s="146"/>
      <c r="N646" s="91"/>
      <c r="O646" s="142"/>
    </row>
    <row r="647" ht="13.5" customHeight="1">
      <c r="A647" s="143"/>
      <c r="B647" s="144"/>
      <c r="C647" s="145"/>
      <c r="D647" s="145"/>
      <c r="E647" s="146"/>
      <c r="N647" s="91"/>
      <c r="O647" s="142"/>
    </row>
    <row r="648" ht="13.5" customHeight="1">
      <c r="A648" s="143"/>
      <c r="B648" s="144"/>
      <c r="C648" s="145"/>
      <c r="D648" s="145"/>
      <c r="E648" s="146"/>
      <c r="N648" s="91"/>
      <c r="O648" s="142"/>
    </row>
    <row r="649" ht="13.5" customHeight="1">
      <c r="A649" s="143"/>
      <c r="B649" s="144"/>
      <c r="C649" s="145"/>
      <c r="D649" s="145"/>
      <c r="E649" s="146"/>
      <c r="N649" s="91"/>
      <c r="O649" s="142"/>
    </row>
    <row r="650" ht="13.5" customHeight="1">
      <c r="A650" s="143"/>
      <c r="B650" s="144"/>
      <c r="C650" s="145"/>
      <c r="D650" s="145"/>
      <c r="E650" s="146"/>
      <c r="N650" s="91"/>
      <c r="O650" s="142"/>
    </row>
    <row r="651" ht="13.5" customHeight="1">
      <c r="A651" s="143"/>
      <c r="B651" s="144"/>
      <c r="C651" s="145"/>
      <c r="D651" s="145"/>
      <c r="E651" s="146"/>
      <c r="N651" s="91"/>
      <c r="O651" s="142"/>
    </row>
    <row r="652" ht="13.5" customHeight="1">
      <c r="A652" s="143"/>
      <c r="B652" s="144"/>
      <c r="C652" s="145"/>
      <c r="D652" s="145"/>
      <c r="E652" s="146"/>
      <c r="N652" s="91"/>
      <c r="O652" s="142"/>
    </row>
    <row r="653" ht="13.5" customHeight="1">
      <c r="A653" s="143"/>
      <c r="B653" s="144"/>
      <c r="C653" s="145"/>
      <c r="D653" s="145"/>
      <c r="E653" s="146"/>
      <c r="N653" s="91"/>
      <c r="O653" s="142"/>
    </row>
    <row r="654" ht="13.5" customHeight="1">
      <c r="A654" s="143"/>
      <c r="B654" s="144"/>
      <c r="C654" s="145"/>
      <c r="D654" s="145"/>
      <c r="E654" s="146"/>
      <c r="N654" s="91"/>
      <c r="O654" s="142"/>
    </row>
    <row r="655" ht="13.5" customHeight="1">
      <c r="A655" s="143"/>
      <c r="B655" s="144"/>
      <c r="C655" s="145"/>
      <c r="D655" s="145"/>
      <c r="E655" s="146"/>
      <c r="N655" s="91"/>
      <c r="O655" s="142"/>
    </row>
    <row r="656" ht="13.5" customHeight="1">
      <c r="A656" s="143"/>
      <c r="B656" s="144"/>
      <c r="C656" s="145"/>
      <c r="D656" s="145"/>
      <c r="E656" s="146"/>
      <c r="N656" s="91"/>
      <c r="O656" s="142"/>
    </row>
    <row r="657" ht="13.5" customHeight="1">
      <c r="A657" s="143"/>
      <c r="B657" s="144"/>
      <c r="C657" s="145"/>
      <c r="D657" s="145"/>
      <c r="E657" s="146"/>
      <c r="N657" s="91"/>
      <c r="O657" s="142"/>
    </row>
    <row r="658" ht="13.5" customHeight="1">
      <c r="A658" s="143"/>
      <c r="B658" s="144"/>
      <c r="C658" s="145"/>
      <c r="D658" s="145"/>
      <c r="E658" s="146"/>
      <c r="N658" s="91"/>
      <c r="O658" s="142"/>
    </row>
    <row r="659" ht="13.5" customHeight="1">
      <c r="A659" s="143"/>
      <c r="B659" s="144"/>
      <c r="C659" s="145"/>
      <c r="D659" s="145"/>
      <c r="E659" s="146"/>
      <c r="N659" s="91"/>
      <c r="O659" s="142"/>
    </row>
    <row r="660" ht="13.5" customHeight="1">
      <c r="A660" s="143"/>
      <c r="B660" s="144"/>
      <c r="C660" s="145"/>
      <c r="D660" s="145"/>
      <c r="E660" s="146"/>
      <c r="N660" s="91"/>
      <c r="O660" s="142"/>
    </row>
    <row r="661" ht="13.5" customHeight="1">
      <c r="A661" s="143"/>
      <c r="B661" s="144"/>
      <c r="C661" s="145"/>
      <c r="D661" s="145"/>
      <c r="E661" s="146"/>
      <c r="N661" s="91"/>
      <c r="O661" s="142"/>
    </row>
    <row r="662" ht="13.5" customHeight="1">
      <c r="A662" s="143"/>
      <c r="B662" s="144"/>
      <c r="C662" s="145"/>
      <c r="D662" s="145"/>
      <c r="E662" s="146"/>
      <c r="N662" s="91"/>
      <c r="O662" s="142"/>
    </row>
    <row r="663" ht="13.5" customHeight="1">
      <c r="A663" s="143"/>
      <c r="B663" s="144"/>
      <c r="C663" s="145"/>
      <c r="D663" s="145"/>
      <c r="E663" s="146"/>
      <c r="N663" s="91"/>
      <c r="O663" s="142"/>
    </row>
    <row r="664" ht="13.5" customHeight="1">
      <c r="A664" s="143"/>
      <c r="B664" s="144"/>
      <c r="C664" s="145"/>
      <c r="D664" s="145"/>
      <c r="E664" s="146"/>
      <c r="N664" s="91"/>
      <c r="O664" s="142"/>
    </row>
    <row r="665" ht="13.5" customHeight="1">
      <c r="A665" s="143"/>
      <c r="B665" s="144"/>
      <c r="C665" s="145"/>
      <c r="D665" s="145"/>
      <c r="E665" s="146"/>
      <c r="N665" s="91"/>
      <c r="O665" s="142"/>
    </row>
    <row r="666" ht="13.5" customHeight="1">
      <c r="A666" s="143"/>
      <c r="B666" s="144"/>
      <c r="C666" s="145"/>
      <c r="D666" s="145"/>
      <c r="E666" s="146"/>
      <c r="N666" s="91"/>
      <c r="O666" s="142"/>
    </row>
    <row r="667" ht="13.5" customHeight="1">
      <c r="A667" s="143"/>
      <c r="B667" s="144"/>
      <c r="C667" s="145"/>
      <c r="D667" s="145"/>
      <c r="E667" s="146"/>
      <c r="N667" s="91"/>
      <c r="O667" s="142"/>
    </row>
    <row r="668" ht="13.5" customHeight="1">
      <c r="A668" s="143"/>
      <c r="B668" s="144"/>
      <c r="C668" s="145"/>
      <c r="D668" s="145"/>
      <c r="E668" s="146"/>
      <c r="N668" s="91"/>
      <c r="O668" s="142"/>
    </row>
    <row r="669" ht="13.5" customHeight="1">
      <c r="A669" s="143"/>
      <c r="B669" s="144"/>
      <c r="C669" s="145"/>
      <c r="D669" s="145"/>
      <c r="E669" s="146"/>
      <c r="N669" s="91"/>
      <c r="O669" s="142"/>
    </row>
    <row r="670" ht="13.5" customHeight="1">
      <c r="A670" s="143"/>
      <c r="B670" s="144"/>
      <c r="C670" s="145"/>
      <c r="D670" s="145"/>
      <c r="E670" s="146"/>
      <c r="N670" s="91"/>
      <c r="O670" s="142"/>
    </row>
    <row r="671" ht="13.5" customHeight="1">
      <c r="A671" s="143"/>
      <c r="B671" s="144"/>
      <c r="C671" s="145"/>
      <c r="D671" s="145"/>
      <c r="E671" s="146"/>
      <c r="N671" s="91"/>
      <c r="O671" s="142"/>
    </row>
    <row r="672" ht="13.5" customHeight="1">
      <c r="A672" s="143"/>
      <c r="B672" s="144"/>
      <c r="C672" s="145"/>
      <c r="D672" s="145"/>
      <c r="E672" s="146"/>
      <c r="N672" s="91"/>
      <c r="O672" s="142"/>
    </row>
    <row r="673" ht="13.5" customHeight="1">
      <c r="A673" s="143"/>
      <c r="B673" s="144"/>
      <c r="C673" s="145"/>
      <c r="D673" s="145"/>
      <c r="E673" s="146"/>
      <c r="N673" s="91"/>
      <c r="O673" s="142"/>
    </row>
    <row r="674" ht="13.5" customHeight="1">
      <c r="A674" s="143"/>
      <c r="B674" s="144"/>
      <c r="C674" s="145"/>
      <c r="D674" s="145"/>
      <c r="E674" s="146"/>
      <c r="N674" s="91"/>
      <c r="O674" s="142"/>
    </row>
    <row r="675" ht="13.5" customHeight="1">
      <c r="A675" s="143"/>
      <c r="B675" s="144"/>
      <c r="C675" s="145"/>
      <c r="D675" s="145"/>
      <c r="E675" s="146"/>
      <c r="N675" s="91"/>
      <c r="O675" s="142"/>
    </row>
    <row r="676" ht="13.5" customHeight="1">
      <c r="A676" s="143"/>
      <c r="B676" s="144"/>
      <c r="C676" s="145"/>
      <c r="D676" s="145"/>
      <c r="E676" s="146"/>
      <c r="N676" s="91"/>
      <c r="O676" s="142"/>
    </row>
    <row r="677" ht="13.5" customHeight="1">
      <c r="A677" s="143"/>
      <c r="B677" s="144"/>
      <c r="C677" s="145"/>
      <c r="D677" s="145"/>
      <c r="E677" s="146"/>
      <c r="N677" s="91"/>
      <c r="O677" s="142"/>
    </row>
    <row r="678" ht="13.5" customHeight="1">
      <c r="A678" s="143"/>
      <c r="B678" s="144"/>
      <c r="C678" s="145"/>
      <c r="D678" s="145"/>
      <c r="E678" s="146"/>
      <c r="N678" s="91"/>
      <c r="O678" s="142"/>
    </row>
    <row r="679" ht="13.5" customHeight="1">
      <c r="A679" s="143"/>
      <c r="B679" s="144"/>
      <c r="C679" s="145"/>
      <c r="D679" s="145"/>
      <c r="E679" s="146"/>
      <c r="N679" s="91"/>
      <c r="O679" s="142"/>
    </row>
    <row r="680" ht="13.5" customHeight="1">
      <c r="A680" s="143"/>
      <c r="B680" s="144"/>
      <c r="C680" s="145"/>
      <c r="D680" s="145"/>
      <c r="E680" s="146"/>
      <c r="N680" s="91"/>
      <c r="O680" s="142"/>
    </row>
    <row r="681" ht="13.5" customHeight="1">
      <c r="A681" s="143"/>
      <c r="B681" s="144"/>
      <c r="C681" s="145"/>
      <c r="D681" s="145"/>
      <c r="E681" s="146"/>
      <c r="N681" s="91"/>
      <c r="O681" s="142"/>
    </row>
    <row r="682" ht="13.5" customHeight="1">
      <c r="A682" s="143"/>
      <c r="B682" s="144"/>
      <c r="C682" s="145"/>
      <c r="D682" s="145"/>
      <c r="E682" s="146"/>
      <c r="N682" s="91"/>
      <c r="O682" s="142"/>
    </row>
    <row r="683" ht="13.5" customHeight="1">
      <c r="A683" s="143"/>
      <c r="B683" s="144"/>
      <c r="C683" s="145"/>
      <c r="D683" s="145"/>
      <c r="E683" s="146"/>
      <c r="N683" s="91"/>
      <c r="O683" s="142"/>
    </row>
    <row r="684" ht="13.5" customHeight="1">
      <c r="A684" s="143"/>
      <c r="B684" s="144"/>
      <c r="C684" s="145"/>
      <c r="D684" s="145"/>
      <c r="E684" s="146"/>
      <c r="N684" s="91"/>
      <c r="O684" s="142"/>
    </row>
    <row r="685" ht="13.5" customHeight="1">
      <c r="A685" s="143"/>
      <c r="B685" s="144"/>
      <c r="C685" s="145"/>
      <c r="D685" s="145"/>
      <c r="E685" s="146"/>
      <c r="N685" s="91"/>
      <c r="O685" s="142"/>
    </row>
    <row r="686" ht="13.5" customHeight="1">
      <c r="A686" s="143"/>
      <c r="B686" s="144"/>
      <c r="C686" s="145"/>
      <c r="D686" s="145"/>
      <c r="E686" s="146"/>
      <c r="N686" s="91"/>
      <c r="O686" s="142"/>
    </row>
    <row r="687" ht="13.5" customHeight="1">
      <c r="A687" s="143"/>
      <c r="B687" s="144"/>
      <c r="C687" s="145"/>
      <c r="D687" s="145"/>
      <c r="E687" s="146"/>
      <c r="N687" s="91"/>
      <c r="O687" s="142"/>
    </row>
    <row r="688" ht="13.5" customHeight="1">
      <c r="A688" s="143"/>
      <c r="B688" s="144"/>
      <c r="C688" s="145"/>
      <c r="D688" s="145"/>
      <c r="E688" s="146"/>
      <c r="N688" s="91"/>
      <c r="O688" s="142"/>
    </row>
    <row r="689" ht="13.5" customHeight="1">
      <c r="A689" s="143"/>
      <c r="B689" s="144"/>
      <c r="C689" s="145"/>
      <c r="D689" s="145"/>
      <c r="E689" s="146"/>
      <c r="N689" s="91"/>
      <c r="O689" s="142"/>
    </row>
    <row r="690" ht="13.5" customHeight="1">
      <c r="A690" s="143"/>
      <c r="B690" s="144"/>
      <c r="C690" s="145"/>
      <c r="D690" s="145"/>
      <c r="E690" s="146"/>
      <c r="N690" s="91"/>
      <c r="O690" s="142"/>
    </row>
    <row r="691" ht="13.5" customHeight="1">
      <c r="A691" s="143"/>
      <c r="B691" s="144"/>
      <c r="C691" s="145"/>
      <c r="D691" s="145"/>
      <c r="E691" s="146"/>
      <c r="N691" s="91"/>
      <c r="O691" s="142"/>
    </row>
    <row r="692" ht="13.5" customHeight="1">
      <c r="A692" s="143"/>
      <c r="B692" s="144"/>
      <c r="C692" s="145"/>
      <c r="D692" s="145"/>
      <c r="E692" s="146"/>
      <c r="N692" s="91"/>
      <c r="O692" s="142"/>
    </row>
    <row r="693" ht="13.5" customHeight="1">
      <c r="A693" s="143"/>
      <c r="B693" s="144"/>
      <c r="C693" s="145"/>
      <c r="D693" s="145"/>
      <c r="E693" s="146"/>
      <c r="N693" s="91"/>
      <c r="O693" s="142"/>
    </row>
    <row r="694" ht="13.5" customHeight="1">
      <c r="A694" s="143"/>
      <c r="B694" s="144"/>
      <c r="C694" s="145"/>
      <c r="D694" s="145"/>
      <c r="E694" s="146"/>
      <c r="N694" s="91"/>
      <c r="O694" s="142"/>
    </row>
    <row r="695" ht="13.5" customHeight="1">
      <c r="A695" s="143"/>
      <c r="B695" s="144"/>
      <c r="C695" s="145"/>
      <c r="D695" s="145"/>
      <c r="E695" s="146"/>
      <c r="N695" s="91"/>
      <c r="O695" s="142"/>
    </row>
    <row r="696" ht="13.5" customHeight="1">
      <c r="A696" s="143"/>
      <c r="B696" s="144"/>
      <c r="C696" s="145"/>
      <c r="D696" s="145"/>
      <c r="E696" s="146"/>
      <c r="N696" s="91"/>
      <c r="O696" s="142"/>
    </row>
    <row r="697" ht="13.5" customHeight="1">
      <c r="A697" s="143"/>
      <c r="B697" s="144"/>
      <c r="C697" s="145"/>
      <c r="D697" s="145"/>
      <c r="E697" s="146"/>
      <c r="N697" s="91"/>
      <c r="O697" s="142"/>
    </row>
    <row r="698" ht="13.5" customHeight="1">
      <c r="A698" s="143"/>
      <c r="B698" s="144"/>
      <c r="C698" s="145"/>
      <c r="D698" s="145"/>
      <c r="E698" s="146"/>
      <c r="N698" s="91"/>
      <c r="O698" s="142"/>
    </row>
    <row r="699" ht="13.5" customHeight="1">
      <c r="A699" s="143"/>
      <c r="B699" s="144"/>
      <c r="C699" s="145"/>
      <c r="D699" s="145"/>
      <c r="E699" s="146"/>
      <c r="N699" s="91"/>
      <c r="O699" s="142"/>
    </row>
    <row r="700" ht="13.5" customHeight="1">
      <c r="A700" s="143"/>
      <c r="B700" s="144"/>
      <c r="C700" s="145"/>
      <c r="D700" s="145"/>
      <c r="E700" s="146"/>
      <c r="N700" s="91"/>
      <c r="O700" s="142"/>
    </row>
    <row r="701" ht="13.5" customHeight="1">
      <c r="A701" s="143"/>
      <c r="B701" s="144"/>
      <c r="C701" s="145"/>
      <c r="D701" s="145"/>
      <c r="E701" s="146"/>
      <c r="N701" s="91"/>
      <c r="O701" s="142"/>
    </row>
    <row r="702" ht="13.5" customHeight="1">
      <c r="A702" s="143"/>
      <c r="B702" s="144"/>
      <c r="C702" s="145"/>
      <c r="D702" s="145"/>
      <c r="E702" s="146"/>
      <c r="N702" s="91"/>
      <c r="O702" s="142"/>
    </row>
    <row r="703" ht="13.5" customHeight="1">
      <c r="A703" s="143"/>
      <c r="B703" s="144"/>
      <c r="C703" s="145"/>
      <c r="D703" s="145"/>
      <c r="E703" s="146"/>
      <c r="N703" s="91"/>
      <c r="O703" s="142"/>
    </row>
    <row r="704" ht="13.5" customHeight="1">
      <c r="A704" s="143"/>
      <c r="B704" s="144"/>
      <c r="C704" s="145"/>
      <c r="D704" s="145"/>
      <c r="E704" s="146"/>
      <c r="N704" s="91"/>
      <c r="O704" s="142"/>
    </row>
    <row r="705" ht="13.5" customHeight="1">
      <c r="A705" s="143"/>
      <c r="B705" s="144"/>
      <c r="C705" s="145"/>
      <c r="D705" s="145"/>
      <c r="E705" s="146"/>
      <c r="N705" s="91"/>
      <c r="O705" s="142"/>
    </row>
    <row r="706" ht="13.5" customHeight="1">
      <c r="A706" s="143"/>
      <c r="B706" s="144"/>
      <c r="C706" s="145"/>
      <c r="D706" s="145"/>
      <c r="E706" s="146"/>
      <c r="N706" s="91"/>
      <c r="O706" s="142"/>
    </row>
    <row r="707" ht="13.5" customHeight="1">
      <c r="A707" s="143"/>
      <c r="B707" s="144"/>
      <c r="C707" s="145"/>
      <c r="D707" s="145"/>
      <c r="E707" s="146"/>
      <c r="N707" s="91"/>
      <c r="O707" s="142"/>
    </row>
    <row r="708" ht="13.5" customHeight="1">
      <c r="A708" s="143"/>
      <c r="B708" s="144"/>
      <c r="C708" s="145"/>
      <c r="D708" s="145"/>
      <c r="E708" s="146"/>
      <c r="N708" s="91"/>
      <c r="O708" s="142"/>
    </row>
    <row r="709" ht="13.5" customHeight="1">
      <c r="A709" s="143"/>
      <c r="B709" s="144"/>
      <c r="C709" s="145"/>
      <c r="D709" s="145"/>
      <c r="E709" s="146"/>
      <c r="N709" s="91"/>
      <c r="O709" s="142"/>
    </row>
    <row r="710" ht="13.5" customHeight="1">
      <c r="A710" s="143"/>
      <c r="B710" s="144"/>
      <c r="C710" s="145"/>
      <c r="D710" s="145"/>
      <c r="E710" s="146"/>
      <c r="N710" s="91"/>
      <c r="O710" s="142"/>
    </row>
    <row r="711" ht="13.5" customHeight="1">
      <c r="A711" s="143"/>
      <c r="B711" s="144"/>
      <c r="C711" s="145"/>
      <c r="D711" s="145"/>
      <c r="E711" s="146"/>
      <c r="N711" s="91"/>
      <c r="O711" s="142"/>
    </row>
    <row r="712" ht="13.5" customHeight="1">
      <c r="A712" s="143"/>
      <c r="B712" s="144"/>
      <c r="C712" s="145"/>
      <c r="D712" s="145"/>
      <c r="E712" s="146"/>
      <c r="N712" s="91"/>
      <c r="O712" s="142"/>
    </row>
    <row r="713" ht="13.5" customHeight="1">
      <c r="A713" s="143"/>
      <c r="B713" s="144"/>
      <c r="C713" s="145"/>
      <c r="D713" s="145"/>
      <c r="E713" s="146"/>
      <c r="N713" s="91"/>
      <c r="O713" s="142"/>
    </row>
    <row r="714" ht="13.5" customHeight="1">
      <c r="A714" s="143"/>
      <c r="B714" s="144"/>
      <c r="C714" s="145"/>
      <c r="D714" s="145"/>
      <c r="E714" s="146"/>
      <c r="N714" s="91"/>
      <c r="O714" s="142"/>
    </row>
    <row r="715" ht="13.5" customHeight="1">
      <c r="A715" s="143"/>
      <c r="B715" s="144"/>
      <c r="C715" s="145"/>
      <c r="D715" s="145"/>
      <c r="E715" s="146"/>
      <c r="N715" s="91"/>
      <c r="O715" s="142"/>
    </row>
    <row r="716" ht="13.5" customHeight="1">
      <c r="A716" s="143"/>
      <c r="B716" s="144"/>
      <c r="C716" s="145"/>
      <c r="D716" s="145"/>
      <c r="E716" s="146"/>
      <c r="N716" s="91"/>
      <c r="O716" s="142"/>
    </row>
    <row r="717" ht="13.5" customHeight="1">
      <c r="A717" s="143"/>
      <c r="B717" s="144"/>
      <c r="C717" s="145"/>
      <c r="D717" s="145"/>
      <c r="E717" s="146"/>
      <c r="N717" s="91"/>
      <c r="O717" s="142"/>
    </row>
    <row r="718" ht="13.5" customHeight="1">
      <c r="A718" s="143"/>
      <c r="B718" s="144"/>
      <c r="C718" s="145"/>
      <c r="D718" s="145"/>
      <c r="E718" s="146"/>
      <c r="N718" s="91"/>
      <c r="O718" s="142"/>
    </row>
    <row r="719" ht="13.5" customHeight="1">
      <c r="A719" s="143"/>
      <c r="B719" s="144"/>
      <c r="C719" s="145"/>
      <c r="D719" s="145"/>
      <c r="E719" s="146"/>
      <c r="N719" s="91"/>
      <c r="O719" s="142"/>
    </row>
    <row r="720" ht="13.5" customHeight="1">
      <c r="A720" s="143"/>
      <c r="B720" s="144"/>
      <c r="C720" s="145"/>
      <c r="D720" s="145"/>
      <c r="E720" s="146"/>
      <c r="N720" s="91"/>
      <c r="O720" s="142"/>
    </row>
    <row r="721" ht="13.5" customHeight="1">
      <c r="A721" s="143"/>
      <c r="B721" s="144"/>
      <c r="C721" s="145"/>
      <c r="D721" s="145"/>
      <c r="E721" s="146"/>
      <c r="N721" s="91"/>
      <c r="O721" s="142"/>
    </row>
    <row r="722" ht="13.5" customHeight="1">
      <c r="A722" s="143"/>
      <c r="B722" s="144"/>
      <c r="C722" s="145"/>
      <c r="D722" s="145"/>
      <c r="E722" s="146"/>
      <c r="N722" s="91"/>
      <c r="O722" s="142"/>
    </row>
    <row r="723" ht="13.5" customHeight="1">
      <c r="A723" s="143"/>
      <c r="B723" s="144"/>
      <c r="C723" s="145"/>
      <c r="D723" s="145"/>
      <c r="E723" s="146"/>
      <c r="N723" s="91"/>
      <c r="O723" s="142"/>
    </row>
    <row r="724" ht="13.5" customHeight="1">
      <c r="A724" s="143"/>
      <c r="B724" s="144"/>
      <c r="C724" s="145"/>
      <c r="D724" s="145"/>
      <c r="E724" s="146"/>
      <c r="N724" s="91"/>
      <c r="O724" s="142"/>
    </row>
    <row r="725" ht="13.5" customHeight="1">
      <c r="A725" s="143"/>
      <c r="B725" s="144"/>
      <c r="C725" s="145"/>
      <c r="D725" s="145"/>
      <c r="E725" s="146"/>
      <c r="N725" s="91"/>
      <c r="O725" s="142"/>
    </row>
    <row r="726" ht="13.5" customHeight="1">
      <c r="A726" s="143"/>
      <c r="B726" s="144"/>
      <c r="C726" s="145"/>
      <c r="D726" s="145"/>
      <c r="E726" s="146"/>
      <c r="N726" s="91"/>
      <c r="O726" s="142"/>
    </row>
    <row r="727" ht="13.5" customHeight="1">
      <c r="A727" s="143"/>
      <c r="B727" s="144"/>
      <c r="C727" s="145"/>
      <c r="D727" s="145"/>
      <c r="E727" s="146"/>
      <c r="N727" s="91"/>
      <c r="O727" s="142"/>
    </row>
    <row r="728" ht="13.5" customHeight="1">
      <c r="A728" s="143"/>
      <c r="B728" s="144"/>
      <c r="C728" s="145"/>
      <c r="D728" s="145"/>
      <c r="E728" s="146"/>
      <c r="N728" s="91"/>
      <c r="O728" s="142"/>
    </row>
    <row r="729" ht="13.5" customHeight="1">
      <c r="A729" s="143"/>
      <c r="B729" s="144"/>
      <c r="C729" s="145"/>
      <c r="D729" s="145"/>
      <c r="E729" s="146"/>
      <c r="N729" s="91"/>
      <c r="O729" s="142"/>
    </row>
    <row r="730" ht="13.5" customHeight="1">
      <c r="A730" s="143"/>
      <c r="B730" s="144"/>
      <c r="C730" s="145"/>
      <c r="D730" s="145"/>
      <c r="E730" s="146"/>
      <c r="N730" s="91"/>
      <c r="O730" s="142"/>
    </row>
    <row r="731" ht="13.5" customHeight="1">
      <c r="A731" s="143"/>
      <c r="B731" s="144"/>
      <c r="C731" s="145"/>
      <c r="D731" s="145"/>
      <c r="E731" s="146"/>
      <c r="N731" s="91"/>
      <c r="O731" s="142"/>
    </row>
    <row r="732" ht="13.5" customHeight="1">
      <c r="A732" s="143"/>
      <c r="B732" s="144"/>
      <c r="C732" s="145"/>
      <c r="D732" s="145"/>
      <c r="E732" s="146"/>
      <c r="N732" s="91"/>
      <c r="O732" s="142"/>
    </row>
    <row r="733" ht="13.5" customHeight="1">
      <c r="A733" s="143"/>
      <c r="B733" s="144"/>
      <c r="C733" s="145"/>
      <c r="D733" s="145"/>
      <c r="E733" s="146"/>
      <c r="N733" s="91"/>
      <c r="O733" s="142"/>
    </row>
    <row r="734" ht="13.5" customHeight="1">
      <c r="A734" s="143"/>
      <c r="B734" s="144"/>
      <c r="C734" s="145"/>
      <c r="D734" s="145"/>
      <c r="E734" s="146"/>
      <c r="N734" s="91"/>
      <c r="O734" s="142"/>
    </row>
    <row r="735" ht="13.5" customHeight="1">
      <c r="A735" s="143"/>
      <c r="B735" s="144"/>
      <c r="C735" s="145"/>
      <c r="D735" s="145"/>
      <c r="E735" s="146"/>
      <c r="N735" s="91"/>
      <c r="O735" s="142"/>
    </row>
    <row r="736" ht="13.5" customHeight="1">
      <c r="A736" s="143"/>
      <c r="B736" s="144"/>
      <c r="C736" s="145"/>
      <c r="D736" s="145"/>
      <c r="E736" s="146"/>
      <c r="N736" s="91"/>
      <c r="O736" s="142"/>
    </row>
    <row r="737" ht="13.5" customHeight="1">
      <c r="A737" s="143"/>
      <c r="B737" s="144"/>
      <c r="C737" s="145"/>
      <c r="D737" s="145"/>
      <c r="E737" s="146"/>
      <c r="N737" s="91"/>
      <c r="O737" s="142"/>
    </row>
    <row r="738" ht="13.5" customHeight="1">
      <c r="A738" s="143"/>
      <c r="B738" s="144"/>
      <c r="C738" s="145"/>
      <c r="D738" s="145"/>
      <c r="E738" s="146"/>
      <c r="N738" s="91"/>
      <c r="O738" s="142"/>
    </row>
    <row r="739" ht="13.5" customHeight="1">
      <c r="A739" s="143"/>
      <c r="B739" s="144"/>
      <c r="C739" s="145"/>
      <c r="D739" s="145"/>
      <c r="E739" s="146"/>
      <c r="N739" s="91"/>
      <c r="O739" s="142"/>
    </row>
    <row r="740" ht="13.5" customHeight="1">
      <c r="A740" s="143"/>
      <c r="B740" s="144"/>
      <c r="C740" s="145"/>
      <c r="D740" s="145"/>
      <c r="E740" s="146"/>
      <c r="N740" s="91"/>
      <c r="O740" s="142"/>
    </row>
    <row r="741" ht="13.5" customHeight="1">
      <c r="A741" s="143"/>
      <c r="B741" s="144"/>
      <c r="C741" s="145"/>
      <c r="D741" s="145"/>
      <c r="E741" s="146"/>
      <c r="N741" s="91"/>
      <c r="O741" s="142"/>
    </row>
    <row r="742" ht="13.5" customHeight="1">
      <c r="A742" s="143"/>
      <c r="B742" s="144"/>
      <c r="C742" s="145"/>
      <c r="D742" s="145"/>
      <c r="E742" s="146"/>
      <c r="N742" s="91"/>
      <c r="O742" s="142"/>
    </row>
    <row r="743" ht="13.5" customHeight="1">
      <c r="A743" s="143"/>
      <c r="B743" s="144"/>
      <c r="C743" s="145"/>
      <c r="D743" s="145"/>
      <c r="E743" s="146"/>
      <c r="N743" s="91"/>
      <c r="O743" s="142"/>
    </row>
    <row r="744" ht="13.5" customHeight="1">
      <c r="A744" s="143"/>
      <c r="B744" s="144"/>
      <c r="C744" s="145"/>
      <c r="D744" s="145"/>
      <c r="E744" s="146"/>
      <c r="N744" s="91"/>
      <c r="O744" s="142"/>
    </row>
    <row r="745" ht="13.5" customHeight="1">
      <c r="A745" s="143"/>
      <c r="B745" s="144"/>
      <c r="C745" s="145"/>
      <c r="D745" s="145"/>
      <c r="E745" s="146"/>
      <c r="N745" s="91"/>
      <c r="O745" s="142"/>
    </row>
    <row r="746" ht="13.5" customHeight="1">
      <c r="A746" s="143"/>
      <c r="B746" s="144"/>
      <c r="C746" s="145"/>
      <c r="D746" s="145"/>
      <c r="E746" s="146"/>
      <c r="N746" s="91"/>
      <c r="O746" s="142"/>
    </row>
    <row r="747" ht="13.5" customHeight="1">
      <c r="A747" s="143"/>
      <c r="B747" s="144"/>
      <c r="C747" s="145"/>
      <c r="D747" s="145"/>
      <c r="E747" s="146"/>
      <c r="N747" s="91"/>
      <c r="O747" s="142"/>
    </row>
    <row r="748" ht="13.5" customHeight="1">
      <c r="A748" s="143"/>
      <c r="B748" s="144"/>
      <c r="C748" s="145"/>
      <c r="D748" s="145"/>
      <c r="E748" s="146"/>
      <c r="N748" s="91"/>
      <c r="O748" s="142"/>
    </row>
    <row r="749" ht="13.5" customHeight="1">
      <c r="A749" s="143"/>
      <c r="B749" s="144"/>
      <c r="C749" s="145"/>
      <c r="D749" s="145"/>
      <c r="E749" s="146"/>
      <c r="N749" s="91"/>
      <c r="O749" s="142"/>
    </row>
    <row r="750" ht="13.5" customHeight="1">
      <c r="A750" s="143"/>
      <c r="B750" s="144"/>
      <c r="C750" s="145"/>
      <c r="D750" s="145"/>
      <c r="E750" s="146"/>
      <c r="N750" s="91"/>
      <c r="O750" s="142"/>
    </row>
    <row r="751" ht="13.5" customHeight="1">
      <c r="A751" s="143"/>
      <c r="B751" s="144"/>
      <c r="C751" s="145"/>
      <c r="D751" s="145"/>
      <c r="E751" s="146"/>
      <c r="N751" s="91"/>
      <c r="O751" s="142"/>
    </row>
    <row r="752" ht="13.5" customHeight="1">
      <c r="A752" s="143"/>
      <c r="B752" s="144"/>
      <c r="C752" s="145"/>
      <c r="D752" s="145"/>
      <c r="E752" s="146"/>
      <c r="N752" s="91"/>
      <c r="O752" s="142"/>
    </row>
    <row r="753" ht="13.5" customHeight="1">
      <c r="A753" s="143"/>
      <c r="B753" s="144"/>
      <c r="C753" s="145"/>
      <c r="D753" s="145"/>
      <c r="E753" s="146"/>
      <c r="N753" s="91"/>
      <c r="O753" s="142"/>
    </row>
    <row r="754" ht="13.5" customHeight="1">
      <c r="A754" s="143"/>
      <c r="B754" s="144"/>
      <c r="C754" s="145"/>
      <c r="D754" s="145"/>
      <c r="E754" s="146"/>
      <c r="N754" s="91"/>
      <c r="O754" s="142"/>
    </row>
    <row r="755" ht="13.5" customHeight="1">
      <c r="A755" s="143"/>
      <c r="B755" s="144"/>
      <c r="C755" s="145"/>
      <c r="D755" s="145"/>
      <c r="E755" s="146"/>
      <c r="N755" s="91"/>
      <c r="O755" s="142"/>
    </row>
    <row r="756" ht="13.5" customHeight="1">
      <c r="A756" s="143"/>
      <c r="B756" s="144"/>
      <c r="C756" s="145"/>
      <c r="D756" s="145"/>
      <c r="E756" s="146"/>
      <c r="N756" s="91"/>
      <c r="O756" s="142"/>
    </row>
    <row r="757" ht="13.5" customHeight="1">
      <c r="A757" s="143"/>
      <c r="B757" s="144"/>
      <c r="C757" s="145"/>
      <c r="D757" s="145"/>
      <c r="E757" s="146"/>
      <c r="N757" s="91"/>
      <c r="O757" s="142"/>
    </row>
    <row r="758" ht="13.5" customHeight="1">
      <c r="A758" s="143"/>
      <c r="B758" s="144"/>
      <c r="C758" s="145"/>
      <c r="D758" s="145"/>
      <c r="E758" s="146"/>
      <c r="N758" s="91"/>
      <c r="O758" s="142"/>
    </row>
    <row r="759" ht="13.5" customHeight="1">
      <c r="A759" s="143"/>
      <c r="B759" s="144"/>
      <c r="C759" s="145"/>
      <c r="D759" s="145"/>
      <c r="E759" s="146"/>
      <c r="N759" s="91"/>
      <c r="O759" s="142"/>
    </row>
    <row r="760" ht="13.5" customHeight="1">
      <c r="A760" s="143"/>
      <c r="B760" s="144"/>
      <c r="C760" s="145"/>
      <c r="D760" s="145"/>
      <c r="E760" s="146"/>
      <c r="N760" s="91"/>
      <c r="O760" s="142"/>
    </row>
    <row r="761" ht="13.5" customHeight="1">
      <c r="A761" s="143"/>
      <c r="B761" s="144"/>
      <c r="C761" s="145"/>
      <c r="D761" s="145"/>
      <c r="E761" s="146"/>
      <c r="N761" s="91"/>
      <c r="O761" s="142"/>
    </row>
    <row r="762" ht="13.5" customHeight="1">
      <c r="A762" s="143"/>
      <c r="B762" s="144"/>
      <c r="C762" s="145"/>
      <c r="D762" s="145"/>
      <c r="E762" s="146"/>
      <c r="N762" s="91"/>
      <c r="O762" s="142"/>
    </row>
    <row r="763" ht="13.5" customHeight="1">
      <c r="A763" s="143"/>
      <c r="B763" s="144"/>
      <c r="C763" s="145"/>
      <c r="D763" s="145"/>
      <c r="E763" s="146"/>
      <c r="N763" s="91"/>
      <c r="O763" s="142"/>
    </row>
    <row r="764" ht="13.5" customHeight="1">
      <c r="A764" s="143"/>
      <c r="B764" s="144"/>
      <c r="C764" s="145"/>
      <c r="D764" s="145"/>
      <c r="E764" s="146"/>
      <c r="N764" s="91"/>
      <c r="O764" s="142"/>
    </row>
    <row r="765" ht="13.5" customHeight="1">
      <c r="A765" s="143"/>
      <c r="B765" s="144"/>
      <c r="C765" s="145"/>
      <c r="D765" s="145"/>
      <c r="E765" s="146"/>
      <c r="N765" s="91"/>
      <c r="O765" s="142"/>
    </row>
    <row r="766" ht="13.5" customHeight="1">
      <c r="A766" s="143"/>
      <c r="B766" s="144"/>
      <c r="C766" s="145"/>
      <c r="D766" s="145"/>
      <c r="E766" s="146"/>
      <c r="N766" s="91"/>
      <c r="O766" s="142"/>
    </row>
    <row r="767" ht="13.5" customHeight="1">
      <c r="A767" s="143"/>
      <c r="B767" s="144"/>
      <c r="C767" s="145"/>
      <c r="D767" s="145"/>
      <c r="E767" s="146"/>
      <c r="N767" s="91"/>
      <c r="O767" s="142"/>
    </row>
    <row r="768" ht="13.5" customHeight="1">
      <c r="A768" s="143"/>
      <c r="B768" s="144"/>
      <c r="C768" s="145"/>
      <c r="D768" s="145"/>
      <c r="E768" s="146"/>
      <c r="N768" s="91"/>
      <c r="O768" s="142"/>
    </row>
    <row r="769" ht="13.5" customHeight="1">
      <c r="A769" s="143"/>
      <c r="B769" s="144"/>
      <c r="C769" s="145"/>
      <c r="D769" s="145"/>
      <c r="E769" s="146"/>
      <c r="N769" s="91"/>
      <c r="O769" s="142"/>
    </row>
    <row r="770" ht="13.5" customHeight="1">
      <c r="A770" s="143"/>
      <c r="B770" s="144"/>
      <c r="C770" s="145"/>
      <c r="D770" s="145"/>
      <c r="E770" s="146"/>
      <c r="N770" s="91"/>
      <c r="O770" s="142"/>
    </row>
    <row r="771" ht="13.5" customHeight="1">
      <c r="A771" s="143"/>
      <c r="B771" s="144"/>
      <c r="C771" s="145"/>
      <c r="D771" s="145"/>
      <c r="E771" s="146"/>
      <c r="N771" s="91"/>
      <c r="O771" s="142"/>
    </row>
    <row r="772" ht="13.5" customHeight="1">
      <c r="A772" s="143"/>
      <c r="B772" s="144"/>
      <c r="C772" s="145"/>
      <c r="D772" s="145"/>
      <c r="E772" s="146"/>
      <c r="N772" s="91"/>
      <c r="O772" s="142"/>
    </row>
    <row r="773" ht="13.5" customHeight="1">
      <c r="A773" s="143"/>
      <c r="B773" s="144"/>
      <c r="C773" s="145"/>
      <c r="D773" s="145"/>
      <c r="E773" s="146"/>
      <c r="N773" s="91"/>
      <c r="O773" s="142"/>
    </row>
    <row r="774" ht="13.5" customHeight="1">
      <c r="A774" s="143"/>
      <c r="B774" s="144"/>
      <c r="C774" s="145"/>
      <c r="D774" s="145"/>
      <c r="E774" s="146"/>
      <c r="N774" s="91"/>
      <c r="O774" s="142"/>
    </row>
    <row r="775" ht="13.5" customHeight="1">
      <c r="A775" s="143"/>
      <c r="B775" s="144"/>
      <c r="C775" s="145"/>
      <c r="D775" s="145"/>
      <c r="E775" s="146"/>
      <c r="N775" s="91"/>
      <c r="O775" s="142"/>
    </row>
    <row r="776" ht="13.5" customHeight="1">
      <c r="A776" s="143"/>
      <c r="B776" s="144"/>
      <c r="C776" s="145"/>
      <c r="D776" s="145"/>
      <c r="E776" s="146"/>
      <c r="N776" s="91"/>
      <c r="O776" s="142"/>
    </row>
    <row r="777" ht="13.5" customHeight="1">
      <c r="A777" s="143"/>
      <c r="B777" s="144"/>
      <c r="C777" s="145"/>
      <c r="D777" s="145"/>
      <c r="E777" s="146"/>
      <c r="N777" s="91"/>
      <c r="O777" s="142"/>
    </row>
    <row r="778" ht="13.5" customHeight="1">
      <c r="A778" s="143"/>
      <c r="B778" s="144"/>
      <c r="C778" s="145"/>
      <c r="D778" s="145"/>
      <c r="E778" s="146"/>
      <c r="N778" s="91"/>
      <c r="O778" s="142"/>
    </row>
    <row r="779" ht="13.5" customHeight="1">
      <c r="A779" s="143"/>
      <c r="B779" s="144"/>
      <c r="C779" s="145"/>
      <c r="D779" s="145"/>
      <c r="E779" s="146"/>
      <c r="N779" s="91"/>
      <c r="O779" s="142"/>
    </row>
    <row r="780" ht="13.5" customHeight="1">
      <c r="A780" s="143"/>
      <c r="B780" s="144"/>
      <c r="C780" s="145"/>
      <c r="D780" s="145"/>
      <c r="E780" s="146"/>
      <c r="N780" s="91"/>
      <c r="O780" s="142"/>
    </row>
    <row r="781" ht="13.5" customHeight="1">
      <c r="A781" s="143"/>
      <c r="B781" s="144"/>
      <c r="C781" s="145"/>
      <c r="D781" s="145"/>
      <c r="E781" s="146"/>
      <c r="N781" s="91"/>
      <c r="O781" s="142"/>
    </row>
    <row r="782" ht="13.5" customHeight="1">
      <c r="A782" s="143"/>
      <c r="B782" s="144"/>
      <c r="C782" s="145"/>
      <c r="D782" s="145"/>
      <c r="E782" s="146"/>
      <c r="N782" s="91"/>
      <c r="O782" s="142"/>
    </row>
    <row r="783" ht="13.5" customHeight="1">
      <c r="A783" s="143"/>
      <c r="B783" s="144"/>
      <c r="C783" s="145"/>
      <c r="D783" s="145"/>
      <c r="E783" s="146"/>
      <c r="N783" s="91"/>
      <c r="O783" s="142"/>
    </row>
    <row r="784" ht="13.5" customHeight="1">
      <c r="A784" s="143"/>
      <c r="B784" s="144"/>
      <c r="C784" s="145"/>
      <c r="D784" s="145"/>
      <c r="E784" s="146"/>
      <c r="N784" s="91"/>
      <c r="O784" s="142"/>
    </row>
    <row r="785" ht="13.5" customHeight="1">
      <c r="A785" s="143"/>
      <c r="B785" s="144"/>
      <c r="C785" s="145"/>
      <c r="D785" s="145"/>
      <c r="E785" s="146"/>
      <c r="N785" s="91"/>
      <c r="O785" s="142"/>
    </row>
    <row r="786" ht="13.5" customHeight="1">
      <c r="A786" s="143"/>
      <c r="B786" s="144"/>
      <c r="C786" s="145"/>
      <c r="D786" s="145"/>
      <c r="E786" s="146"/>
      <c r="N786" s="91"/>
      <c r="O786" s="142"/>
    </row>
    <row r="787" ht="13.5" customHeight="1">
      <c r="A787" s="143"/>
      <c r="B787" s="144"/>
      <c r="C787" s="145"/>
      <c r="D787" s="145"/>
      <c r="E787" s="146"/>
      <c r="N787" s="91"/>
      <c r="O787" s="142"/>
    </row>
    <row r="788" ht="13.5" customHeight="1">
      <c r="A788" s="143"/>
      <c r="B788" s="144"/>
      <c r="C788" s="145"/>
      <c r="D788" s="145"/>
      <c r="E788" s="146"/>
      <c r="N788" s="91"/>
      <c r="O788" s="142"/>
    </row>
    <row r="789" ht="13.5" customHeight="1">
      <c r="A789" s="143"/>
      <c r="B789" s="144"/>
      <c r="C789" s="145"/>
      <c r="D789" s="145"/>
      <c r="E789" s="146"/>
      <c r="N789" s="91"/>
      <c r="O789" s="142"/>
    </row>
    <row r="790" ht="13.5" customHeight="1">
      <c r="A790" s="143"/>
      <c r="B790" s="144"/>
      <c r="C790" s="145"/>
      <c r="D790" s="145"/>
      <c r="E790" s="146"/>
      <c r="N790" s="91"/>
      <c r="O790" s="142"/>
    </row>
    <row r="791" ht="13.5" customHeight="1">
      <c r="A791" s="143"/>
      <c r="B791" s="144"/>
      <c r="C791" s="145"/>
      <c r="D791" s="145"/>
      <c r="E791" s="146"/>
      <c r="N791" s="91"/>
      <c r="O791" s="142"/>
    </row>
    <row r="792" ht="13.5" customHeight="1">
      <c r="A792" s="143"/>
      <c r="B792" s="144"/>
      <c r="C792" s="145"/>
      <c r="D792" s="145"/>
      <c r="E792" s="146"/>
      <c r="N792" s="91"/>
      <c r="O792" s="142"/>
    </row>
    <row r="793" ht="13.5" customHeight="1">
      <c r="A793" s="143"/>
      <c r="B793" s="144"/>
      <c r="C793" s="145"/>
      <c r="D793" s="145"/>
      <c r="E793" s="146"/>
      <c r="N793" s="91"/>
      <c r="O793" s="142"/>
    </row>
    <row r="794" ht="13.5" customHeight="1">
      <c r="A794" s="143"/>
      <c r="B794" s="144"/>
      <c r="C794" s="145"/>
      <c r="D794" s="145"/>
      <c r="E794" s="146"/>
      <c r="N794" s="91"/>
      <c r="O794" s="142"/>
    </row>
    <row r="795" ht="13.5" customHeight="1">
      <c r="A795" s="143"/>
      <c r="B795" s="144"/>
      <c r="C795" s="145"/>
      <c r="D795" s="145"/>
      <c r="E795" s="146"/>
      <c r="N795" s="91"/>
      <c r="O795" s="142"/>
    </row>
    <row r="796" ht="13.5" customHeight="1">
      <c r="A796" s="143"/>
      <c r="B796" s="144"/>
      <c r="C796" s="145"/>
      <c r="D796" s="145"/>
      <c r="E796" s="146"/>
      <c r="N796" s="91"/>
      <c r="O796" s="142"/>
    </row>
    <row r="797" ht="13.5" customHeight="1">
      <c r="A797" s="143"/>
      <c r="B797" s="144"/>
      <c r="C797" s="145"/>
      <c r="D797" s="145"/>
      <c r="E797" s="146"/>
      <c r="N797" s="91"/>
      <c r="O797" s="142"/>
    </row>
    <row r="798" ht="13.5" customHeight="1">
      <c r="A798" s="143"/>
      <c r="B798" s="144"/>
      <c r="C798" s="145"/>
      <c r="D798" s="145"/>
      <c r="E798" s="146"/>
      <c r="N798" s="91"/>
      <c r="O798" s="142"/>
    </row>
    <row r="799" ht="13.5" customHeight="1">
      <c r="A799" s="143"/>
      <c r="B799" s="144"/>
      <c r="C799" s="145"/>
      <c r="D799" s="145"/>
      <c r="E799" s="146"/>
      <c r="N799" s="91"/>
      <c r="O799" s="142"/>
    </row>
    <row r="800" ht="13.5" customHeight="1">
      <c r="A800" s="143"/>
      <c r="B800" s="144"/>
      <c r="C800" s="145"/>
      <c r="D800" s="145"/>
      <c r="E800" s="146"/>
      <c r="N800" s="91"/>
      <c r="O800" s="142"/>
    </row>
    <row r="801" ht="13.5" customHeight="1">
      <c r="A801" s="143"/>
      <c r="B801" s="144"/>
      <c r="C801" s="145"/>
      <c r="D801" s="145"/>
      <c r="E801" s="146"/>
      <c r="N801" s="91"/>
      <c r="O801" s="142"/>
    </row>
    <row r="802" ht="13.5" customHeight="1">
      <c r="A802" s="143"/>
      <c r="B802" s="144"/>
      <c r="C802" s="145"/>
      <c r="D802" s="145"/>
      <c r="E802" s="146"/>
      <c r="N802" s="91"/>
      <c r="O802" s="142"/>
    </row>
    <row r="803" ht="13.5" customHeight="1">
      <c r="A803" s="143"/>
      <c r="B803" s="144"/>
      <c r="C803" s="145"/>
      <c r="D803" s="145"/>
      <c r="E803" s="146"/>
      <c r="N803" s="91"/>
      <c r="O803" s="142"/>
    </row>
    <row r="804" ht="13.5" customHeight="1">
      <c r="A804" s="143"/>
      <c r="B804" s="144"/>
      <c r="C804" s="145"/>
      <c r="D804" s="145"/>
      <c r="E804" s="146"/>
      <c r="N804" s="91"/>
      <c r="O804" s="142"/>
    </row>
    <row r="805" ht="13.5" customHeight="1">
      <c r="A805" s="143"/>
      <c r="B805" s="144"/>
      <c r="C805" s="145"/>
      <c r="D805" s="145"/>
      <c r="E805" s="146"/>
      <c r="N805" s="91"/>
      <c r="O805" s="142"/>
    </row>
    <row r="806" ht="13.5" customHeight="1">
      <c r="A806" s="143"/>
      <c r="B806" s="144"/>
      <c r="C806" s="145"/>
      <c r="D806" s="145"/>
      <c r="E806" s="146"/>
      <c r="N806" s="91"/>
      <c r="O806" s="142"/>
    </row>
    <row r="807" ht="13.5" customHeight="1">
      <c r="A807" s="143"/>
      <c r="B807" s="144"/>
      <c r="C807" s="145"/>
      <c r="D807" s="145"/>
      <c r="E807" s="146"/>
      <c r="N807" s="91"/>
      <c r="O807" s="142"/>
    </row>
    <row r="808" ht="13.5" customHeight="1">
      <c r="A808" s="143"/>
      <c r="B808" s="144"/>
      <c r="C808" s="145"/>
      <c r="D808" s="145"/>
      <c r="E808" s="146"/>
      <c r="N808" s="91"/>
      <c r="O808" s="142"/>
    </row>
    <row r="809" ht="13.5" customHeight="1">
      <c r="A809" s="143"/>
      <c r="B809" s="144"/>
      <c r="C809" s="145"/>
      <c r="D809" s="145"/>
      <c r="E809" s="146"/>
      <c r="N809" s="91"/>
      <c r="O809" s="142"/>
    </row>
    <row r="810" ht="13.5" customHeight="1">
      <c r="A810" s="143"/>
      <c r="B810" s="144"/>
      <c r="C810" s="145"/>
      <c r="D810" s="145"/>
      <c r="E810" s="146"/>
      <c r="N810" s="91"/>
      <c r="O810" s="142"/>
    </row>
    <row r="811" ht="13.5" customHeight="1">
      <c r="A811" s="143"/>
      <c r="B811" s="144"/>
      <c r="C811" s="145"/>
      <c r="D811" s="145"/>
      <c r="E811" s="146"/>
      <c r="N811" s="91"/>
      <c r="O811" s="142"/>
    </row>
    <row r="812" ht="13.5" customHeight="1">
      <c r="A812" s="143"/>
      <c r="B812" s="144"/>
      <c r="C812" s="145"/>
      <c r="D812" s="145"/>
      <c r="E812" s="146"/>
      <c r="N812" s="91"/>
      <c r="O812" s="142"/>
    </row>
    <row r="813" ht="13.5" customHeight="1">
      <c r="A813" s="143"/>
      <c r="B813" s="144"/>
      <c r="C813" s="145"/>
      <c r="D813" s="145"/>
      <c r="E813" s="146"/>
      <c r="N813" s="91"/>
      <c r="O813" s="142"/>
    </row>
    <row r="814" ht="13.5" customHeight="1">
      <c r="A814" s="143"/>
      <c r="B814" s="144"/>
      <c r="C814" s="145"/>
      <c r="D814" s="145"/>
      <c r="E814" s="146"/>
      <c r="N814" s="91"/>
      <c r="O814" s="142"/>
    </row>
    <row r="815" ht="13.5" customHeight="1">
      <c r="A815" s="143"/>
      <c r="B815" s="144"/>
      <c r="C815" s="145"/>
      <c r="D815" s="145"/>
      <c r="E815" s="146"/>
      <c r="N815" s="91"/>
      <c r="O815" s="142"/>
    </row>
    <row r="816" ht="13.5" customHeight="1">
      <c r="A816" s="143"/>
      <c r="B816" s="144"/>
      <c r="C816" s="145"/>
      <c r="D816" s="145"/>
      <c r="E816" s="146"/>
      <c r="N816" s="91"/>
      <c r="O816" s="142"/>
    </row>
    <row r="817" ht="13.5" customHeight="1">
      <c r="A817" s="143"/>
      <c r="B817" s="144"/>
      <c r="C817" s="145"/>
      <c r="D817" s="145"/>
      <c r="E817" s="146"/>
      <c r="N817" s="91"/>
      <c r="O817" s="142"/>
    </row>
    <row r="818" ht="13.5" customHeight="1">
      <c r="A818" s="143"/>
      <c r="B818" s="144"/>
      <c r="C818" s="145"/>
      <c r="D818" s="145"/>
      <c r="E818" s="146"/>
      <c r="N818" s="91"/>
      <c r="O818" s="142"/>
    </row>
    <row r="819" ht="13.5" customHeight="1">
      <c r="A819" s="143"/>
      <c r="B819" s="144"/>
      <c r="C819" s="145"/>
      <c r="D819" s="145"/>
      <c r="E819" s="146"/>
      <c r="N819" s="91"/>
      <c r="O819" s="142"/>
    </row>
    <row r="820" ht="13.5" customHeight="1">
      <c r="A820" s="143"/>
      <c r="B820" s="144"/>
      <c r="C820" s="145"/>
      <c r="D820" s="145"/>
      <c r="E820" s="146"/>
      <c r="N820" s="91"/>
      <c r="O820" s="142"/>
    </row>
    <row r="821" ht="13.5" customHeight="1">
      <c r="A821" s="143"/>
      <c r="B821" s="144"/>
      <c r="C821" s="145"/>
      <c r="D821" s="145"/>
      <c r="E821" s="146"/>
      <c r="N821" s="91"/>
      <c r="O821" s="142"/>
    </row>
    <row r="822" ht="13.5" customHeight="1">
      <c r="A822" s="143"/>
      <c r="B822" s="144"/>
      <c r="C822" s="145"/>
      <c r="D822" s="145"/>
      <c r="E822" s="146"/>
      <c r="N822" s="91"/>
      <c r="O822" s="142"/>
    </row>
    <row r="823" ht="13.5" customHeight="1">
      <c r="A823" s="143"/>
      <c r="B823" s="144"/>
      <c r="C823" s="145"/>
      <c r="D823" s="145"/>
      <c r="E823" s="146"/>
      <c r="N823" s="91"/>
      <c r="O823" s="142"/>
    </row>
    <row r="824" ht="13.5" customHeight="1">
      <c r="A824" s="143"/>
      <c r="B824" s="144"/>
      <c r="C824" s="145"/>
      <c r="D824" s="145"/>
      <c r="E824" s="146"/>
      <c r="N824" s="91"/>
      <c r="O824" s="142"/>
    </row>
    <row r="825" ht="13.5" customHeight="1">
      <c r="A825" s="143"/>
      <c r="B825" s="144"/>
      <c r="C825" s="145"/>
      <c r="D825" s="145"/>
      <c r="E825" s="146"/>
      <c r="N825" s="91"/>
      <c r="O825" s="142"/>
    </row>
    <row r="826" ht="13.5" customHeight="1">
      <c r="A826" s="143"/>
      <c r="B826" s="144"/>
      <c r="C826" s="145"/>
      <c r="D826" s="145"/>
      <c r="E826" s="146"/>
      <c r="N826" s="91"/>
      <c r="O826" s="142"/>
    </row>
    <row r="827" ht="13.5" customHeight="1">
      <c r="A827" s="143"/>
      <c r="B827" s="144"/>
      <c r="C827" s="145"/>
      <c r="D827" s="145"/>
      <c r="E827" s="146"/>
      <c r="N827" s="91"/>
      <c r="O827" s="142"/>
    </row>
    <row r="828" ht="13.5" customHeight="1">
      <c r="A828" s="143"/>
      <c r="B828" s="144"/>
      <c r="C828" s="145"/>
      <c r="D828" s="145"/>
      <c r="E828" s="146"/>
      <c r="N828" s="91"/>
      <c r="O828" s="142"/>
    </row>
    <row r="829" ht="13.5" customHeight="1">
      <c r="A829" s="143"/>
      <c r="B829" s="144"/>
      <c r="C829" s="145"/>
      <c r="D829" s="145"/>
      <c r="E829" s="146"/>
      <c r="N829" s="91"/>
      <c r="O829" s="142"/>
    </row>
    <row r="830" ht="13.5" customHeight="1">
      <c r="A830" s="143"/>
      <c r="B830" s="144"/>
      <c r="C830" s="145"/>
      <c r="D830" s="145"/>
      <c r="E830" s="146"/>
      <c r="N830" s="91"/>
      <c r="O830" s="142"/>
    </row>
    <row r="831" ht="13.5" customHeight="1">
      <c r="A831" s="143"/>
      <c r="B831" s="144"/>
      <c r="C831" s="145"/>
      <c r="D831" s="145"/>
      <c r="E831" s="146"/>
      <c r="N831" s="91"/>
      <c r="O831" s="142"/>
    </row>
    <row r="832" ht="13.5" customHeight="1">
      <c r="A832" s="143"/>
      <c r="B832" s="144"/>
      <c r="C832" s="145"/>
      <c r="D832" s="145"/>
      <c r="E832" s="146"/>
      <c r="N832" s="91"/>
      <c r="O832" s="142"/>
    </row>
    <row r="833" ht="13.5" customHeight="1">
      <c r="A833" s="143"/>
      <c r="B833" s="144"/>
      <c r="C833" s="145"/>
      <c r="D833" s="145"/>
      <c r="E833" s="146"/>
      <c r="N833" s="91"/>
      <c r="O833" s="142"/>
    </row>
    <row r="834" ht="13.5" customHeight="1">
      <c r="A834" s="143"/>
      <c r="B834" s="144"/>
      <c r="C834" s="145"/>
      <c r="D834" s="145"/>
      <c r="E834" s="146"/>
      <c r="N834" s="91"/>
      <c r="O834" s="142"/>
    </row>
    <row r="835" ht="13.5" customHeight="1">
      <c r="A835" s="143"/>
      <c r="B835" s="144"/>
      <c r="C835" s="145"/>
      <c r="D835" s="145"/>
      <c r="E835" s="146"/>
      <c r="N835" s="91"/>
      <c r="O835" s="142"/>
    </row>
    <row r="836" ht="13.5" customHeight="1">
      <c r="A836" s="143"/>
      <c r="B836" s="144"/>
      <c r="C836" s="145"/>
      <c r="D836" s="145"/>
      <c r="E836" s="146"/>
      <c r="N836" s="91"/>
      <c r="O836" s="142"/>
    </row>
    <row r="837" ht="13.5" customHeight="1">
      <c r="A837" s="143"/>
      <c r="B837" s="144"/>
      <c r="C837" s="145"/>
      <c r="D837" s="145"/>
      <c r="E837" s="146"/>
      <c r="N837" s="91"/>
      <c r="O837" s="142"/>
    </row>
    <row r="838" ht="13.5" customHeight="1">
      <c r="A838" s="143"/>
      <c r="B838" s="144"/>
      <c r="C838" s="145"/>
      <c r="D838" s="145"/>
      <c r="E838" s="146"/>
      <c r="N838" s="91"/>
      <c r="O838" s="142"/>
    </row>
    <row r="839" ht="13.5" customHeight="1">
      <c r="A839" s="143"/>
      <c r="B839" s="144"/>
      <c r="C839" s="145"/>
      <c r="D839" s="145"/>
      <c r="E839" s="146"/>
      <c r="N839" s="91"/>
      <c r="O839" s="142"/>
    </row>
    <row r="840" ht="13.5" customHeight="1">
      <c r="A840" s="143"/>
      <c r="B840" s="144"/>
      <c r="C840" s="145"/>
      <c r="D840" s="145"/>
      <c r="E840" s="146"/>
      <c r="N840" s="91"/>
      <c r="O840" s="142"/>
    </row>
    <row r="841" ht="13.5" customHeight="1">
      <c r="A841" s="143"/>
      <c r="B841" s="144"/>
      <c r="C841" s="145"/>
      <c r="D841" s="145"/>
      <c r="E841" s="146"/>
      <c r="N841" s="91"/>
      <c r="O841" s="142"/>
    </row>
    <row r="842" ht="13.5" customHeight="1">
      <c r="A842" s="143"/>
      <c r="B842" s="144"/>
      <c r="C842" s="145"/>
      <c r="D842" s="145"/>
      <c r="E842" s="146"/>
      <c r="N842" s="91"/>
      <c r="O842" s="142"/>
    </row>
    <row r="843" ht="13.5" customHeight="1">
      <c r="A843" s="143"/>
      <c r="B843" s="144"/>
      <c r="C843" s="145"/>
      <c r="D843" s="145"/>
      <c r="E843" s="146"/>
      <c r="N843" s="91"/>
      <c r="O843" s="142"/>
    </row>
    <row r="844" ht="13.5" customHeight="1">
      <c r="A844" s="143"/>
      <c r="B844" s="144"/>
      <c r="C844" s="145"/>
      <c r="D844" s="145"/>
      <c r="E844" s="146"/>
      <c r="N844" s="91"/>
      <c r="O844" s="142"/>
    </row>
    <row r="845" ht="13.5" customHeight="1">
      <c r="A845" s="143"/>
      <c r="B845" s="144"/>
      <c r="C845" s="145"/>
      <c r="D845" s="145"/>
      <c r="E845" s="146"/>
      <c r="N845" s="91"/>
      <c r="O845" s="142"/>
    </row>
    <row r="846" ht="13.5" customHeight="1">
      <c r="A846" s="143"/>
      <c r="B846" s="144"/>
      <c r="C846" s="145"/>
      <c r="D846" s="145"/>
      <c r="E846" s="146"/>
      <c r="N846" s="91"/>
      <c r="O846" s="142"/>
    </row>
    <row r="847" ht="13.5" customHeight="1">
      <c r="A847" s="143"/>
      <c r="B847" s="144"/>
      <c r="C847" s="145"/>
      <c r="D847" s="145"/>
      <c r="E847" s="146"/>
      <c r="N847" s="91"/>
      <c r="O847" s="142"/>
    </row>
    <row r="848" ht="13.5" customHeight="1">
      <c r="A848" s="143"/>
      <c r="B848" s="144"/>
      <c r="C848" s="145"/>
      <c r="D848" s="145"/>
      <c r="E848" s="146"/>
      <c r="N848" s="91"/>
      <c r="O848" s="142"/>
    </row>
    <row r="849" ht="13.5" customHeight="1">
      <c r="A849" s="143"/>
      <c r="B849" s="144"/>
      <c r="C849" s="145"/>
      <c r="D849" s="145"/>
      <c r="E849" s="146"/>
      <c r="N849" s="91"/>
      <c r="O849" s="142"/>
    </row>
    <row r="850" ht="13.5" customHeight="1">
      <c r="A850" s="143"/>
      <c r="B850" s="144"/>
      <c r="C850" s="145"/>
      <c r="D850" s="145"/>
      <c r="E850" s="146"/>
      <c r="N850" s="91"/>
      <c r="O850" s="142"/>
    </row>
    <row r="851" ht="13.5" customHeight="1">
      <c r="A851" s="143"/>
      <c r="B851" s="144"/>
      <c r="C851" s="145"/>
      <c r="D851" s="145"/>
      <c r="E851" s="146"/>
      <c r="N851" s="91"/>
      <c r="O851" s="142"/>
    </row>
    <row r="852" ht="13.5" customHeight="1">
      <c r="A852" s="143"/>
      <c r="B852" s="144"/>
      <c r="C852" s="145"/>
      <c r="D852" s="145"/>
      <c r="E852" s="146"/>
      <c r="N852" s="91"/>
      <c r="O852" s="142"/>
    </row>
    <row r="853" ht="13.5" customHeight="1">
      <c r="A853" s="143"/>
      <c r="B853" s="144"/>
      <c r="C853" s="145"/>
      <c r="D853" s="145"/>
      <c r="E853" s="146"/>
      <c r="N853" s="91"/>
      <c r="O853" s="142"/>
    </row>
    <row r="854" ht="13.5" customHeight="1">
      <c r="A854" s="143"/>
      <c r="B854" s="144"/>
      <c r="C854" s="145"/>
      <c r="D854" s="145"/>
      <c r="E854" s="146"/>
      <c r="N854" s="91"/>
      <c r="O854" s="142"/>
    </row>
    <row r="855" ht="13.5" customHeight="1">
      <c r="A855" s="143"/>
      <c r="B855" s="144"/>
      <c r="C855" s="145"/>
      <c r="D855" s="145"/>
      <c r="E855" s="146"/>
      <c r="N855" s="91"/>
      <c r="O855" s="142"/>
    </row>
    <row r="856" ht="13.5" customHeight="1">
      <c r="A856" s="143"/>
      <c r="B856" s="144"/>
      <c r="C856" s="145"/>
      <c r="D856" s="145"/>
      <c r="E856" s="146"/>
      <c r="N856" s="91"/>
      <c r="O856" s="142"/>
    </row>
    <row r="857" ht="13.5" customHeight="1">
      <c r="A857" s="143"/>
      <c r="B857" s="144"/>
      <c r="C857" s="145"/>
      <c r="D857" s="145"/>
      <c r="E857" s="146"/>
      <c r="N857" s="91"/>
      <c r="O857" s="142"/>
    </row>
    <row r="858" ht="13.5" customHeight="1">
      <c r="A858" s="143"/>
      <c r="B858" s="144"/>
      <c r="C858" s="145"/>
      <c r="D858" s="145"/>
      <c r="E858" s="146"/>
      <c r="N858" s="91"/>
      <c r="O858" s="142"/>
    </row>
    <row r="859" ht="13.5" customHeight="1">
      <c r="A859" s="143"/>
      <c r="B859" s="144"/>
      <c r="C859" s="145"/>
      <c r="D859" s="145"/>
      <c r="E859" s="146"/>
      <c r="N859" s="91"/>
      <c r="O859" s="142"/>
    </row>
    <row r="860" ht="13.5" customHeight="1">
      <c r="A860" s="143"/>
      <c r="B860" s="144"/>
      <c r="C860" s="145"/>
      <c r="D860" s="145"/>
      <c r="E860" s="146"/>
      <c r="N860" s="91"/>
      <c r="O860" s="142"/>
    </row>
    <row r="861" ht="13.5" customHeight="1">
      <c r="A861" s="143"/>
      <c r="B861" s="144"/>
      <c r="C861" s="145"/>
      <c r="D861" s="145"/>
      <c r="E861" s="146"/>
      <c r="N861" s="91"/>
      <c r="O861" s="142"/>
    </row>
    <row r="862" ht="13.5" customHeight="1">
      <c r="A862" s="143"/>
      <c r="B862" s="144"/>
      <c r="C862" s="145"/>
      <c r="D862" s="145"/>
      <c r="E862" s="146"/>
      <c r="N862" s="91"/>
      <c r="O862" s="142"/>
    </row>
    <row r="863" ht="13.5" customHeight="1">
      <c r="A863" s="143"/>
      <c r="B863" s="144"/>
      <c r="C863" s="145"/>
      <c r="D863" s="145"/>
      <c r="E863" s="146"/>
      <c r="N863" s="91"/>
      <c r="O863" s="142"/>
    </row>
    <row r="864" ht="13.5" customHeight="1">
      <c r="A864" s="143"/>
      <c r="B864" s="144"/>
      <c r="C864" s="145"/>
      <c r="D864" s="145"/>
      <c r="E864" s="146"/>
      <c r="N864" s="91"/>
      <c r="O864" s="142"/>
    </row>
    <row r="865" ht="13.5" customHeight="1">
      <c r="A865" s="143"/>
      <c r="B865" s="144"/>
      <c r="C865" s="145"/>
      <c r="D865" s="145"/>
      <c r="E865" s="146"/>
      <c r="N865" s="91"/>
      <c r="O865" s="142"/>
    </row>
    <row r="866" ht="13.5" customHeight="1">
      <c r="A866" s="143"/>
      <c r="B866" s="144"/>
      <c r="C866" s="145"/>
      <c r="D866" s="145"/>
      <c r="E866" s="146"/>
      <c r="N866" s="91"/>
      <c r="O866" s="142"/>
    </row>
    <row r="867" ht="13.5" customHeight="1">
      <c r="A867" s="143"/>
      <c r="B867" s="144"/>
      <c r="C867" s="145"/>
      <c r="D867" s="145"/>
      <c r="E867" s="146"/>
      <c r="N867" s="91"/>
      <c r="O867" s="142"/>
    </row>
    <row r="868" ht="13.5" customHeight="1">
      <c r="A868" s="143"/>
      <c r="B868" s="144"/>
      <c r="C868" s="145"/>
      <c r="D868" s="145"/>
      <c r="E868" s="146"/>
      <c r="N868" s="91"/>
      <c r="O868" s="142"/>
    </row>
    <row r="869" ht="13.5" customHeight="1">
      <c r="A869" s="143"/>
      <c r="B869" s="144"/>
      <c r="C869" s="145"/>
      <c r="D869" s="145"/>
      <c r="E869" s="146"/>
      <c r="N869" s="91"/>
      <c r="O869" s="142"/>
    </row>
    <row r="870" ht="13.5" customHeight="1">
      <c r="A870" s="143"/>
      <c r="B870" s="144"/>
      <c r="C870" s="145"/>
      <c r="D870" s="145"/>
      <c r="E870" s="146"/>
      <c r="N870" s="91"/>
      <c r="O870" s="142"/>
    </row>
    <row r="871" ht="13.5" customHeight="1">
      <c r="A871" s="143"/>
      <c r="B871" s="144"/>
      <c r="C871" s="145"/>
      <c r="D871" s="145"/>
      <c r="E871" s="146"/>
      <c r="N871" s="91"/>
      <c r="O871" s="142"/>
    </row>
    <row r="872" ht="13.5" customHeight="1">
      <c r="A872" s="143"/>
      <c r="B872" s="144"/>
      <c r="C872" s="145"/>
      <c r="D872" s="145"/>
      <c r="E872" s="146"/>
      <c r="N872" s="91"/>
      <c r="O872" s="142"/>
    </row>
    <row r="873" ht="13.5" customHeight="1">
      <c r="A873" s="143"/>
      <c r="B873" s="144"/>
      <c r="C873" s="145"/>
      <c r="D873" s="145"/>
      <c r="E873" s="146"/>
      <c r="N873" s="91"/>
      <c r="O873" s="142"/>
    </row>
    <row r="874" ht="13.5" customHeight="1">
      <c r="A874" s="143"/>
      <c r="B874" s="144"/>
      <c r="C874" s="145"/>
      <c r="D874" s="145"/>
      <c r="E874" s="146"/>
      <c r="N874" s="91"/>
      <c r="O874" s="142"/>
    </row>
    <row r="875" ht="13.5" customHeight="1">
      <c r="A875" s="143"/>
      <c r="B875" s="144"/>
      <c r="C875" s="145"/>
      <c r="D875" s="145"/>
      <c r="E875" s="146"/>
      <c r="N875" s="91"/>
      <c r="O875" s="142"/>
    </row>
    <row r="876" ht="13.5" customHeight="1">
      <c r="A876" s="143"/>
      <c r="B876" s="144"/>
      <c r="C876" s="145"/>
      <c r="D876" s="145"/>
      <c r="E876" s="146"/>
      <c r="N876" s="91"/>
      <c r="O876" s="142"/>
    </row>
    <row r="877" ht="13.5" customHeight="1">
      <c r="A877" s="143"/>
      <c r="B877" s="144"/>
      <c r="C877" s="145"/>
      <c r="D877" s="145"/>
      <c r="E877" s="146"/>
      <c r="N877" s="91"/>
      <c r="O877" s="142"/>
    </row>
    <row r="878" ht="13.5" customHeight="1">
      <c r="A878" s="143"/>
      <c r="B878" s="144"/>
      <c r="C878" s="145"/>
      <c r="D878" s="145"/>
      <c r="E878" s="146"/>
      <c r="N878" s="91"/>
      <c r="O878" s="142"/>
    </row>
    <row r="879" ht="13.5" customHeight="1">
      <c r="A879" s="143"/>
      <c r="B879" s="144"/>
      <c r="C879" s="145"/>
      <c r="D879" s="145"/>
      <c r="E879" s="146"/>
      <c r="N879" s="91"/>
      <c r="O879" s="142"/>
    </row>
    <row r="880" ht="13.5" customHeight="1">
      <c r="A880" s="143"/>
      <c r="B880" s="144"/>
      <c r="C880" s="145"/>
      <c r="D880" s="145"/>
      <c r="E880" s="146"/>
      <c r="N880" s="91"/>
      <c r="O880" s="142"/>
    </row>
    <row r="881" ht="13.5" customHeight="1">
      <c r="A881" s="143"/>
      <c r="B881" s="144"/>
      <c r="C881" s="145"/>
      <c r="D881" s="145"/>
      <c r="E881" s="146"/>
      <c r="N881" s="91"/>
      <c r="O881" s="142"/>
    </row>
    <row r="882" ht="13.5" customHeight="1">
      <c r="A882" s="143"/>
      <c r="B882" s="144"/>
      <c r="C882" s="145"/>
      <c r="D882" s="145"/>
      <c r="E882" s="146"/>
      <c r="N882" s="91"/>
      <c r="O882" s="142"/>
    </row>
    <row r="883" ht="13.5" customHeight="1">
      <c r="A883" s="143"/>
      <c r="B883" s="144"/>
      <c r="C883" s="145"/>
      <c r="D883" s="145"/>
      <c r="E883" s="146"/>
      <c r="N883" s="91"/>
      <c r="O883" s="142"/>
    </row>
    <row r="884" ht="13.5" customHeight="1">
      <c r="A884" s="143"/>
      <c r="B884" s="144"/>
      <c r="C884" s="145"/>
      <c r="D884" s="145"/>
      <c r="E884" s="146"/>
      <c r="N884" s="91"/>
      <c r="O884" s="142"/>
    </row>
    <row r="885" ht="13.5" customHeight="1">
      <c r="A885" s="143"/>
      <c r="B885" s="144"/>
      <c r="C885" s="145"/>
      <c r="D885" s="145"/>
      <c r="E885" s="146"/>
      <c r="N885" s="91"/>
      <c r="O885" s="142"/>
    </row>
    <row r="886" ht="13.5" customHeight="1">
      <c r="A886" s="143"/>
      <c r="B886" s="144"/>
      <c r="C886" s="145"/>
      <c r="D886" s="145"/>
      <c r="E886" s="146"/>
      <c r="N886" s="91"/>
      <c r="O886" s="142"/>
    </row>
    <row r="887" ht="13.5" customHeight="1">
      <c r="A887" s="143"/>
      <c r="B887" s="144"/>
      <c r="C887" s="145"/>
      <c r="D887" s="145"/>
      <c r="E887" s="146"/>
      <c r="N887" s="91"/>
      <c r="O887" s="142"/>
    </row>
    <row r="888" ht="13.5" customHeight="1">
      <c r="A888" s="143"/>
      <c r="B888" s="144"/>
      <c r="C888" s="145"/>
      <c r="D888" s="145"/>
      <c r="E888" s="146"/>
      <c r="N888" s="91"/>
      <c r="O888" s="142"/>
    </row>
    <row r="889" ht="13.5" customHeight="1">
      <c r="A889" s="143"/>
      <c r="B889" s="144"/>
      <c r="C889" s="145"/>
      <c r="D889" s="145"/>
      <c r="E889" s="146"/>
      <c r="N889" s="91"/>
      <c r="O889" s="142"/>
    </row>
    <row r="890" ht="13.5" customHeight="1">
      <c r="A890" s="143"/>
      <c r="B890" s="144"/>
      <c r="C890" s="145"/>
      <c r="D890" s="145"/>
      <c r="E890" s="146"/>
      <c r="N890" s="91"/>
      <c r="O890" s="142"/>
    </row>
    <row r="891" ht="13.5" customHeight="1">
      <c r="A891" s="143"/>
      <c r="B891" s="144"/>
      <c r="C891" s="145"/>
      <c r="D891" s="145"/>
      <c r="E891" s="146"/>
      <c r="N891" s="91"/>
      <c r="O891" s="142"/>
    </row>
    <row r="892" ht="13.5" customHeight="1">
      <c r="A892" s="143"/>
      <c r="B892" s="144"/>
      <c r="C892" s="145"/>
      <c r="D892" s="145"/>
      <c r="E892" s="146"/>
      <c r="N892" s="91"/>
      <c r="O892" s="142"/>
    </row>
    <row r="893" ht="13.5" customHeight="1">
      <c r="A893" s="143"/>
      <c r="B893" s="144"/>
      <c r="C893" s="145"/>
      <c r="D893" s="145"/>
      <c r="E893" s="146"/>
      <c r="N893" s="91"/>
      <c r="O893" s="142"/>
    </row>
    <row r="894" ht="13.5" customHeight="1">
      <c r="A894" s="143"/>
      <c r="B894" s="144"/>
      <c r="C894" s="145"/>
      <c r="D894" s="145"/>
      <c r="E894" s="146"/>
      <c r="N894" s="91"/>
      <c r="O894" s="142"/>
    </row>
    <row r="895" ht="13.5" customHeight="1">
      <c r="A895" s="143"/>
      <c r="B895" s="144"/>
      <c r="C895" s="145"/>
      <c r="D895" s="145"/>
      <c r="E895" s="146"/>
      <c r="N895" s="91"/>
      <c r="O895" s="142"/>
    </row>
    <row r="896" ht="13.5" customHeight="1">
      <c r="A896" s="143"/>
      <c r="B896" s="144"/>
      <c r="C896" s="145"/>
      <c r="D896" s="145"/>
      <c r="E896" s="146"/>
      <c r="N896" s="91"/>
      <c r="O896" s="142"/>
    </row>
    <row r="897" ht="13.5" customHeight="1">
      <c r="A897" s="143"/>
      <c r="B897" s="144"/>
      <c r="C897" s="145"/>
      <c r="D897" s="145"/>
      <c r="E897" s="146"/>
      <c r="N897" s="91"/>
      <c r="O897" s="142"/>
    </row>
    <row r="898" ht="13.5" customHeight="1">
      <c r="A898" s="143"/>
      <c r="B898" s="144"/>
      <c r="C898" s="145"/>
      <c r="D898" s="145"/>
      <c r="E898" s="146"/>
      <c r="N898" s="91"/>
      <c r="O898" s="142"/>
    </row>
    <row r="899" ht="13.5" customHeight="1">
      <c r="A899" s="143"/>
      <c r="B899" s="144"/>
      <c r="C899" s="145"/>
      <c r="D899" s="145"/>
      <c r="E899" s="146"/>
      <c r="N899" s="91"/>
      <c r="O899" s="142"/>
    </row>
    <row r="900" ht="13.5" customHeight="1">
      <c r="A900" s="143"/>
      <c r="B900" s="144"/>
      <c r="C900" s="145"/>
      <c r="D900" s="145"/>
      <c r="E900" s="146"/>
      <c r="N900" s="91"/>
      <c r="O900" s="142"/>
    </row>
    <row r="901" ht="13.5" customHeight="1">
      <c r="A901" s="143"/>
      <c r="B901" s="144"/>
      <c r="C901" s="145"/>
      <c r="D901" s="145"/>
      <c r="E901" s="146"/>
      <c r="N901" s="91"/>
      <c r="O901" s="142"/>
    </row>
    <row r="902" ht="13.5" customHeight="1">
      <c r="A902" s="143"/>
      <c r="B902" s="144"/>
      <c r="C902" s="145"/>
      <c r="D902" s="145"/>
      <c r="E902" s="146"/>
      <c r="N902" s="91"/>
      <c r="O902" s="142"/>
    </row>
    <row r="903" ht="13.5" customHeight="1">
      <c r="A903" s="143"/>
      <c r="B903" s="144"/>
      <c r="C903" s="145"/>
      <c r="D903" s="145"/>
      <c r="E903" s="146"/>
      <c r="N903" s="91"/>
      <c r="O903" s="142"/>
    </row>
    <row r="904" ht="13.5" customHeight="1">
      <c r="A904" s="143"/>
      <c r="B904" s="144"/>
      <c r="C904" s="145"/>
      <c r="D904" s="145"/>
      <c r="E904" s="146"/>
      <c r="N904" s="91"/>
      <c r="O904" s="142"/>
    </row>
    <row r="905" ht="13.5" customHeight="1">
      <c r="A905" s="143"/>
      <c r="B905" s="144"/>
      <c r="C905" s="145"/>
      <c r="D905" s="145"/>
      <c r="E905" s="146"/>
      <c r="N905" s="91"/>
      <c r="O905" s="142"/>
    </row>
    <row r="906" ht="13.5" customHeight="1">
      <c r="A906" s="143"/>
      <c r="B906" s="144"/>
      <c r="C906" s="145"/>
      <c r="D906" s="145"/>
      <c r="E906" s="146"/>
      <c r="N906" s="91"/>
      <c r="O906" s="142"/>
    </row>
    <row r="907" ht="13.5" customHeight="1">
      <c r="A907" s="143"/>
      <c r="B907" s="144"/>
      <c r="C907" s="145"/>
      <c r="D907" s="145"/>
      <c r="E907" s="146"/>
      <c r="N907" s="91"/>
      <c r="O907" s="142"/>
    </row>
    <row r="908" ht="13.5" customHeight="1">
      <c r="A908" s="143"/>
      <c r="B908" s="144"/>
      <c r="C908" s="145"/>
      <c r="D908" s="145"/>
      <c r="E908" s="146"/>
      <c r="N908" s="91"/>
      <c r="O908" s="142"/>
    </row>
    <row r="909" ht="13.5" customHeight="1">
      <c r="A909" s="143"/>
      <c r="B909" s="144"/>
      <c r="C909" s="145"/>
      <c r="D909" s="145"/>
      <c r="E909" s="146"/>
      <c r="N909" s="91"/>
      <c r="O909" s="142"/>
    </row>
    <row r="910" ht="13.5" customHeight="1">
      <c r="A910" s="143"/>
      <c r="B910" s="144"/>
      <c r="C910" s="145"/>
      <c r="D910" s="145"/>
      <c r="E910" s="146"/>
      <c r="N910" s="91"/>
      <c r="O910" s="142"/>
    </row>
    <row r="911" ht="13.5" customHeight="1">
      <c r="A911" s="143"/>
      <c r="B911" s="144"/>
      <c r="C911" s="145"/>
      <c r="D911" s="145"/>
      <c r="E911" s="146"/>
      <c r="N911" s="91"/>
      <c r="O911" s="142"/>
    </row>
    <row r="912" ht="13.5" customHeight="1">
      <c r="A912" s="143"/>
      <c r="B912" s="144"/>
      <c r="C912" s="145"/>
      <c r="D912" s="145"/>
      <c r="E912" s="146"/>
      <c r="N912" s="91"/>
      <c r="O912" s="142"/>
    </row>
    <row r="913" ht="13.5" customHeight="1">
      <c r="A913" s="143"/>
      <c r="B913" s="144"/>
      <c r="C913" s="145"/>
      <c r="D913" s="145"/>
      <c r="E913" s="146"/>
      <c r="N913" s="91"/>
      <c r="O913" s="142"/>
    </row>
    <row r="914" ht="13.5" customHeight="1">
      <c r="A914" s="143"/>
      <c r="B914" s="144"/>
      <c r="C914" s="145"/>
      <c r="D914" s="145"/>
      <c r="E914" s="146"/>
      <c r="N914" s="91"/>
      <c r="O914" s="142"/>
    </row>
    <row r="915" ht="13.5" customHeight="1">
      <c r="A915" s="143"/>
      <c r="B915" s="144"/>
      <c r="C915" s="145"/>
      <c r="D915" s="145"/>
      <c r="E915" s="146"/>
      <c r="N915" s="91"/>
      <c r="O915" s="142"/>
    </row>
    <row r="916" ht="13.5" customHeight="1">
      <c r="A916" s="143"/>
      <c r="B916" s="144"/>
      <c r="C916" s="145"/>
      <c r="D916" s="145"/>
      <c r="E916" s="146"/>
      <c r="N916" s="91"/>
      <c r="O916" s="142"/>
    </row>
    <row r="917" ht="13.5" customHeight="1">
      <c r="A917" s="143"/>
      <c r="B917" s="144"/>
      <c r="C917" s="145"/>
      <c r="D917" s="145"/>
      <c r="E917" s="146"/>
      <c r="N917" s="91"/>
      <c r="O917" s="142"/>
    </row>
    <row r="918" ht="13.5" customHeight="1">
      <c r="A918" s="143"/>
      <c r="B918" s="144"/>
      <c r="C918" s="145"/>
      <c r="D918" s="145"/>
      <c r="E918" s="146"/>
      <c r="N918" s="91"/>
      <c r="O918" s="142"/>
    </row>
    <row r="919" ht="13.5" customHeight="1">
      <c r="A919" s="143"/>
      <c r="B919" s="144"/>
      <c r="C919" s="145"/>
      <c r="D919" s="145"/>
      <c r="E919" s="146"/>
      <c r="N919" s="91"/>
      <c r="O919" s="142"/>
    </row>
    <row r="920" ht="13.5" customHeight="1">
      <c r="A920" s="143"/>
      <c r="B920" s="144"/>
      <c r="C920" s="145"/>
      <c r="D920" s="145"/>
      <c r="E920" s="146"/>
      <c r="N920" s="91"/>
      <c r="O920" s="142"/>
    </row>
    <row r="921" ht="13.5" customHeight="1">
      <c r="A921" s="143"/>
      <c r="B921" s="144"/>
      <c r="C921" s="145"/>
      <c r="D921" s="145"/>
      <c r="E921" s="146"/>
      <c r="N921" s="91"/>
      <c r="O921" s="142"/>
    </row>
    <row r="922" ht="13.5" customHeight="1">
      <c r="A922" s="143"/>
      <c r="B922" s="144"/>
      <c r="C922" s="145"/>
      <c r="D922" s="145"/>
      <c r="E922" s="146"/>
      <c r="N922" s="91"/>
      <c r="O922" s="142"/>
    </row>
    <row r="923" ht="13.5" customHeight="1">
      <c r="A923" s="143"/>
      <c r="B923" s="144"/>
      <c r="C923" s="145"/>
      <c r="D923" s="145"/>
      <c r="E923" s="146"/>
      <c r="N923" s="91"/>
      <c r="O923" s="142"/>
    </row>
    <row r="924" ht="13.5" customHeight="1">
      <c r="A924" s="143"/>
      <c r="B924" s="144"/>
      <c r="C924" s="145"/>
      <c r="D924" s="145"/>
      <c r="E924" s="146"/>
      <c r="N924" s="91"/>
      <c r="O924" s="142"/>
    </row>
    <row r="925" ht="13.5" customHeight="1">
      <c r="A925" s="143"/>
      <c r="B925" s="144"/>
      <c r="C925" s="145"/>
      <c r="D925" s="145"/>
      <c r="E925" s="146"/>
      <c r="N925" s="91"/>
      <c r="O925" s="142"/>
    </row>
    <row r="926" ht="13.5" customHeight="1">
      <c r="A926" s="143"/>
      <c r="B926" s="144"/>
      <c r="C926" s="145"/>
      <c r="D926" s="145"/>
      <c r="E926" s="146"/>
      <c r="N926" s="91"/>
      <c r="O926" s="142"/>
    </row>
    <row r="927" ht="13.5" customHeight="1">
      <c r="A927" s="143"/>
      <c r="B927" s="144"/>
      <c r="C927" s="145"/>
      <c r="D927" s="145"/>
      <c r="E927" s="146"/>
      <c r="N927" s="91"/>
      <c r="O927" s="142"/>
    </row>
    <row r="928" ht="13.5" customHeight="1">
      <c r="A928" s="143"/>
      <c r="B928" s="144"/>
      <c r="C928" s="145"/>
      <c r="D928" s="145"/>
      <c r="E928" s="146"/>
      <c r="N928" s="91"/>
      <c r="O928" s="142"/>
    </row>
    <row r="929" ht="13.5" customHeight="1">
      <c r="A929" s="143"/>
      <c r="B929" s="144"/>
      <c r="C929" s="145"/>
      <c r="D929" s="145"/>
      <c r="E929" s="146"/>
      <c r="N929" s="91"/>
      <c r="O929" s="142"/>
    </row>
    <row r="930" ht="13.5" customHeight="1">
      <c r="A930" s="143"/>
      <c r="B930" s="144"/>
      <c r="C930" s="145"/>
      <c r="D930" s="145"/>
      <c r="E930" s="146"/>
      <c r="N930" s="91"/>
      <c r="O930" s="142"/>
    </row>
    <row r="931" ht="13.5" customHeight="1">
      <c r="A931" s="143"/>
      <c r="B931" s="144"/>
      <c r="C931" s="145"/>
      <c r="D931" s="145"/>
      <c r="E931" s="146"/>
      <c r="N931" s="91"/>
      <c r="O931" s="142"/>
    </row>
    <row r="932" ht="13.5" customHeight="1">
      <c r="A932" s="143"/>
      <c r="B932" s="144"/>
      <c r="C932" s="145"/>
      <c r="D932" s="145"/>
      <c r="E932" s="146"/>
      <c r="N932" s="91"/>
      <c r="O932" s="142"/>
    </row>
    <row r="933" ht="13.5" customHeight="1">
      <c r="A933" s="143"/>
      <c r="B933" s="144"/>
      <c r="C933" s="145"/>
      <c r="D933" s="145"/>
      <c r="E933" s="146"/>
      <c r="N933" s="91"/>
      <c r="O933" s="142"/>
    </row>
    <row r="934" ht="13.5" customHeight="1">
      <c r="A934" s="143"/>
      <c r="B934" s="144"/>
      <c r="C934" s="145"/>
      <c r="D934" s="145"/>
      <c r="E934" s="146"/>
      <c r="N934" s="91"/>
      <c r="O934" s="142"/>
    </row>
    <row r="935" ht="13.5" customHeight="1">
      <c r="A935" s="143"/>
      <c r="B935" s="144"/>
      <c r="C935" s="145"/>
      <c r="D935" s="145"/>
      <c r="E935" s="146"/>
      <c r="N935" s="91"/>
      <c r="O935" s="142"/>
    </row>
    <row r="936" ht="13.5" customHeight="1">
      <c r="A936" s="143"/>
      <c r="B936" s="144"/>
      <c r="C936" s="145"/>
      <c r="D936" s="145"/>
      <c r="E936" s="146"/>
      <c r="N936" s="91"/>
      <c r="O936" s="142"/>
    </row>
    <row r="937" ht="13.5" customHeight="1">
      <c r="A937" s="143"/>
      <c r="B937" s="144"/>
      <c r="C937" s="145"/>
      <c r="D937" s="145"/>
      <c r="E937" s="146"/>
      <c r="N937" s="91"/>
      <c r="O937" s="142"/>
    </row>
    <row r="938" ht="13.5" customHeight="1">
      <c r="A938" s="143"/>
      <c r="B938" s="144"/>
      <c r="C938" s="145"/>
      <c r="D938" s="145"/>
      <c r="E938" s="146"/>
      <c r="N938" s="91"/>
      <c r="O938" s="142"/>
    </row>
    <row r="939" ht="13.5" customHeight="1">
      <c r="A939" s="143"/>
      <c r="B939" s="144"/>
      <c r="C939" s="145"/>
      <c r="D939" s="145"/>
      <c r="E939" s="146"/>
      <c r="N939" s="91"/>
      <c r="O939" s="142"/>
    </row>
    <row r="940" ht="13.5" customHeight="1">
      <c r="A940" s="143"/>
      <c r="B940" s="144"/>
      <c r="C940" s="145"/>
      <c r="D940" s="145"/>
      <c r="E940" s="146"/>
      <c r="N940" s="91"/>
      <c r="O940" s="142"/>
    </row>
    <row r="941" ht="13.5" customHeight="1">
      <c r="A941" s="143"/>
      <c r="B941" s="144"/>
      <c r="C941" s="145"/>
      <c r="D941" s="145"/>
      <c r="E941" s="146"/>
      <c r="N941" s="91"/>
      <c r="O941" s="142"/>
    </row>
    <row r="942" ht="13.5" customHeight="1">
      <c r="A942" s="143"/>
      <c r="B942" s="144"/>
      <c r="C942" s="145"/>
      <c r="D942" s="145"/>
      <c r="E942" s="146"/>
      <c r="N942" s="91"/>
      <c r="O942" s="142"/>
    </row>
    <row r="943" ht="13.5" customHeight="1">
      <c r="A943" s="143"/>
      <c r="B943" s="144"/>
      <c r="C943" s="145"/>
      <c r="D943" s="145"/>
      <c r="E943" s="146"/>
      <c r="N943" s="91"/>
      <c r="O943" s="142"/>
    </row>
    <row r="944" ht="13.5" customHeight="1">
      <c r="A944" s="143"/>
      <c r="B944" s="144"/>
      <c r="C944" s="145"/>
      <c r="D944" s="145"/>
      <c r="E944" s="146"/>
      <c r="N944" s="91"/>
      <c r="O944" s="142"/>
    </row>
    <row r="945" ht="13.5" customHeight="1">
      <c r="A945" s="143"/>
      <c r="B945" s="144"/>
      <c r="C945" s="145"/>
      <c r="D945" s="145"/>
      <c r="E945" s="146"/>
      <c r="N945" s="91"/>
      <c r="O945" s="142"/>
    </row>
    <row r="946" ht="13.5" customHeight="1">
      <c r="A946" s="143"/>
      <c r="B946" s="144"/>
      <c r="C946" s="145"/>
      <c r="D946" s="145"/>
      <c r="E946" s="146"/>
      <c r="N946" s="91"/>
      <c r="O946" s="142"/>
    </row>
    <row r="947" ht="13.5" customHeight="1">
      <c r="A947" s="143"/>
      <c r="B947" s="144"/>
      <c r="C947" s="145"/>
      <c r="D947" s="145"/>
      <c r="E947" s="146"/>
      <c r="N947" s="91"/>
      <c r="O947" s="142"/>
    </row>
    <row r="948" ht="13.5" customHeight="1">
      <c r="A948" s="143"/>
      <c r="B948" s="144"/>
      <c r="C948" s="145"/>
      <c r="D948" s="145"/>
      <c r="E948" s="146"/>
      <c r="N948" s="91"/>
      <c r="O948" s="142"/>
    </row>
    <row r="949" ht="13.5" customHeight="1">
      <c r="A949" s="143"/>
      <c r="B949" s="144"/>
      <c r="C949" s="145"/>
      <c r="D949" s="145"/>
      <c r="E949" s="146"/>
      <c r="N949" s="91"/>
      <c r="O949" s="142"/>
    </row>
    <row r="950" ht="13.5" customHeight="1">
      <c r="A950" s="143"/>
      <c r="B950" s="144"/>
      <c r="C950" s="145"/>
      <c r="D950" s="145"/>
      <c r="E950" s="146"/>
      <c r="N950" s="91"/>
      <c r="O950" s="142"/>
    </row>
    <row r="951" ht="13.5" customHeight="1">
      <c r="A951" s="143"/>
      <c r="B951" s="144"/>
      <c r="C951" s="145"/>
      <c r="D951" s="145"/>
      <c r="E951" s="146"/>
      <c r="N951" s="91"/>
      <c r="O951" s="142"/>
    </row>
    <row r="952" ht="13.5" customHeight="1">
      <c r="A952" s="143"/>
      <c r="B952" s="144"/>
      <c r="C952" s="145"/>
      <c r="D952" s="145"/>
      <c r="E952" s="146"/>
      <c r="N952" s="91"/>
      <c r="O952" s="142"/>
    </row>
    <row r="953" ht="13.5" customHeight="1">
      <c r="A953" s="143"/>
      <c r="B953" s="144"/>
      <c r="C953" s="145"/>
      <c r="D953" s="145"/>
      <c r="E953" s="146"/>
      <c r="N953" s="91"/>
      <c r="O953" s="142"/>
    </row>
    <row r="954" ht="13.5" customHeight="1">
      <c r="A954" s="143"/>
      <c r="B954" s="144"/>
      <c r="C954" s="145"/>
      <c r="D954" s="145"/>
      <c r="E954" s="146"/>
      <c r="N954" s="91"/>
      <c r="O954" s="142"/>
    </row>
    <row r="955" ht="13.5" customHeight="1">
      <c r="A955" s="143"/>
      <c r="B955" s="144"/>
      <c r="C955" s="145"/>
      <c r="D955" s="145"/>
      <c r="E955" s="146"/>
      <c r="N955" s="91"/>
      <c r="O955" s="142"/>
    </row>
    <row r="956" ht="13.5" customHeight="1">
      <c r="A956" s="143"/>
      <c r="B956" s="144"/>
      <c r="C956" s="145"/>
      <c r="D956" s="145"/>
      <c r="E956" s="146"/>
      <c r="N956" s="91"/>
      <c r="O956" s="142"/>
    </row>
    <row r="957" ht="13.5" customHeight="1">
      <c r="A957" s="143"/>
      <c r="B957" s="144"/>
      <c r="C957" s="145"/>
      <c r="D957" s="145"/>
      <c r="E957" s="146"/>
      <c r="N957" s="91"/>
      <c r="O957" s="142"/>
    </row>
    <row r="958" ht="13.5" customHeight="1">
      <c r="A958" s="143"/>
      <c r="B958" s="144"/>
      <c r="C958" s="145"/>
      <c r="D958" s="145"/>
      <c r="E958" s="146"/>
      <c r="N958" s="91"/>
      <c r="O958" s="142"/>
    </row>
    <row r="959" ht="13.5" customHeight="1">
      <c r="A959" s="143"/>
      <c r="B959" s="144"/>
      <c r="C959" s="145"/>
      <c r="D959" s="145"/>
      <c r="E959" s="146"/>
      <c r="N959" s="91"/>
      <c r="O959" s="142"/>
    </row>
    <row r="960" ht="13.5" customHeight="1">
      <c r="A960" s="143"/>
      <c r="B960" s="144"/>
      <c r="C960" s="145"/>
      <c r="D960" s="145"/>
      <c r="E960" s="146"/>
      <c r="N960" s="91"/>
      <c r="O960" s="142"/>
    </row>
    <row r="961" ht="13.5" customHeight="1">
      <c r="A961" s="143"/>
      <c r="B961" s="144"/>
      <c r="C961" s="145"/>
      <c r="D961" s="145"/>
      <c r="E961" s="146"/>
      <c r="N961" s="91"/>
      <c r="O961" s="142"/>
    </row>
    <row r="962" ht="13.5" customHeight="1">
      <c r="A962" s="143"/>
      <c r="B962" s="144"/>
      <c r="C962" s="145"/>
      <c r="D962" s="145"/>
      <c r="E962" s="146"/>
      <c r="N962" s="91"/>
      <c r="O962" s="142"/>
    </row>
    <row r="963" ht="13.5" customHeight="1">
      <c r="A963" s="143"/>
      <c r="B963" s="144"/>
      <c r="C963" s="145"/>
      <c r="D963" s="145"/>
      <c r="E963" s="146"/>
      <c r="N963" s="91"/>
      <c r="O963" s="142"/>
    </row>
    <row r="964" ht="13.5" customHeight="1">
      <c r="A964" s="143"/>
      <c r="B964" s="144"/>
      <c r="C964" s="145"/>
      <c r="D964" s="145"/>
      <c r="E964" s="146"/>
      <c r="N964" s="91"/>
      <c r="O964" s="142"/>
    </row>
    <row r="965" ht="13.5" customHeight="1">
      <c r="A965" s="143"/>
      <c r="B965" s="144"/>
      <c r="C965" s="145"/>
      <c r="D965" s="145"/>
      <c r="E965" s="146"/>
      <c r="N965" s="91"/>
      <c r="O965" s="142"/>
    </row>
    <row r="966" ht="13.5" customHeight="1">
      <c r="A966" s="143"/>
      <c r="B966" s="144"/>
      <c r="C966" s="145"/>
      <c r="D966" s="145"/>
      <c r="E966" s="146"/>
      <c r="N966" s="91"/>
      <c r="O966" s="142"/>
    </row>
    <row r="967" ht="13.5" customHeight="1">
      <c r="A967" s="143"/>
      <c r="B967" s="144"/>
      <c r="C967" s="145"/>
      <c r="D967" s="145"/>
      <c r="E967" s="146"/>
      <c r="N967" s="91"/>
      <c r="O967" s="142"/>
    </row>
    <row r="968" ht="13.5" customHeight="1">
      <c r="A968" s="143"/>
      <c r="B968" s="144"/>
      <c r="C968" s="145"/>
      <c r="D968" s="145"/>
      <c r="E968" s="146"/>
      <c r="N968" s="91"/>
      <c r="O968" s="142"/>
    </row>
    <row r="969" ht="13.5" customHeight="1">
      <c r="A969" s="143"/>
      <c r="B969" s="144"/>
      <c r="C969" s="145"/>
      <c r="D969" s="145"/>
      <c r="E969" s="146"/>
      <c r="N969" s="91"/>
      <c r="O969" s="142"/>
    </row>
    <row r="970" ht="13.5" customHeight="1">
      <c r="A970" s="143"/>
      <c r="B970" s="144"/>
      <c r="C970" s="145"/>
      <c r="D970" s="145"/>
      <c r="E970" s="146"/>
      <c r="N970" s="91"/>
      <c r="O970" s="142"/>
    </row>
    <row r="971" ht="13.5" customHeight="1">
      <c r="A971" s="143"/>
      <c r="B971" s="144"/>
      <c r="C971" s="145"/>
      <c r="D971" s="145"/>
      <c r="E971" s="146"/>
      <c r="N971" s="91"/>
      <c r="O971" s="142"/>
    </row>
    <row r="972" ht="13.5" customHeight="1">
      <c r="A972" s="143"/>
      <c r="B972" s="144"/>
      <c r="C972" s="145"/>
      <c r="D972" s="145"/>
      <c r="E972" s="146"/>
      <c r="N972" s="91"/>
      <c r="O972" s="142"/>
    </row>
    <row r="973" ht="13.5" customHeight="1">
      <c r="A973" s="143"/>
      <c r="B973" s="144"/>
      <c r="C973" s="145"/>
      <c r="D973" s="145"/>
      <c r="E973" s="146"/>
      <c r="N973" s="91"/>
      <c r="O973" s="142"/>
    </row>
    <row r="974" ht="13.5" customHeight="1">
      <c r="A974" s="143"/>
      <c r="B974" s="144"/>
      <c r="C974" s="145"/>
      <c r="D974" s="145"/>
      <c r="E974" s="146"/>
      <c r="N974" s="91"/>
      <c r="O974" s="142"/>
    </row>
    <row r="975" ht="13.5" customHeight="1">
      <c r="A975" s="143"/>
      <c r="B975" s="144"/>
      <c r="C975" s="145"/>
      <c r="D975" s="145"/>
      <c r="E975" s="146"/>
      <c r="N975" s="91"/>
      <c r="O975" s="142"/>
    </row>
    <row r="976" ht="13.5" customHeight="1">
      <c r="A976" s="143"/>
      <c r="B976" s="144"/>
      <c r="C976" s="145"/>
      <c r="D976" s="145"/>
      <c r="E976" s="146"/>
      <c r="N976" s="91"/>
      <c r="O976" s="142"/>
    </row>
    <row r="977" ht="13.5" customHeight="1">
      <c r="A977" s="143"/>
      <c r="B977" s="144"/>
      <c r="C977" s="145"/>
      <c r="D977" s="145"/>
      <c r="E977" s="146"/>
      <c r="N977" s="91"/>
      <c r="O977" s="142"/>
    </row>
    <row r="978" ht="13.5" customHeight="1">
      <c r="A978" s="143"/>
      <c r="B978" s="144"/>
      <c r="C978" s="145"/>
      <c r="D978" s="145"/>
      <c r="E978" s="146"/>
      <c r="N978" s="91"/>
      <c r="O978" s="142"/>
    </row>
    <row r="979" ht="13.5" customHeight="1">
      <c r="A979" s="143"/>
      <c r="B979" s="144"/>
      <c r="C979" s="145"/>
      <c r="D979" s="145"/>
      <c r="E979" s="146"/>
      <c r="N979" s="91"/>
      <c r="O979" s="142"/>
    </row>
    <row r="980" ht="13.5" customHeight="1">
      <c r="A980" s="143"/>
      <c r="B980" s="144"/>
      <c r="C980" s="145"/>
      <c r="D980" s="145"/>
      <c r="E980" s="146"/>
      <c r="N980" s="91"/>
      <c r="O980" s="142"/>
    </row>
    <row r="981" ht="13.5" customHeight="1">
      <c r="A981" s="143"/>
      <c r="B981" s="144"/>
      <c r="C981" s="145"/>
      <c r="D981" s="145"/>
      <c r="E981" s="146"/>
      <c r="N981" s="91"/>
      <c r="O981" s="142"/>
    </row>
    <row r="982" ht="13.5" customHeight="1">
      <c r="A982" s="143"/>
      <c r="B982" s="144"/>
      <c r="C982" s="145"/>
      <c r="D982" s="145"/>
      <c r="E982" s="146"/>
      <c r="N982" s="91"/>
      <c r="O982" s="142"/>
    </row>
    <row r="983" ht="13.5" customHeight="1">
      <c r="A983" s="143"/>
      <c r="B983" s="144"/>
      <c r="C983" s="145"/>
      <c r="D983" s="145"/>
      <c r="E983" s="146"/>
      <c r="N983" s="91"/>
      <c r="O983" s="142"/>
    </row>
    <row r="984" ht="13.5" customHeight="1">
      <c r="A984" s="143"/>
      <c r="B984" s="144"/>
      <c r="C984" s="145"/>
      <c r="D984" s="145"/>
      <c r="E984" s="146"/>
      <c r="N984" s="91"/>
      <c r="O984" s="142"/>
    </row>
    <row r="985" ht="13.5" customHeight="1">
      <c r="A985" s="143"/>
      <c r="B985" s="144"/>
      <c r="C985" s="145"/>
      <c r="D985" s="145"/>
      <c r="E985" s="146"/>
      <c r="N985" s="91"/>
      <c r="O985" s="142"/>
    </row>
    <row r="986" ht="13.5" customHeight="1">
      <c r="A986" s="143"/>
      <c r="B986" s="144"/>
      <c r="C986" s="145"/>
      <c r="D986" s="145"/>
      <c r="E986" s="146"/>
      <c r="N986" s="91"/>
      <c r="O986" s="142"/>
    </row>
    <row r="987" ht="13.5" customHeight="1">
      <c r="A987" s="143"/>
      <c r="B987" s="144"/>
      <c r="C987" s="145"/>
      <c r="D987" s="145"/>
      <c r="E987" s="146"/>
      <c r="N987" s="91"/>
      <c r="O987" s="142"/>
    </row>
    <row r="988" ht="13.5" customHeight="1">
      <c r="A988" s="143"/>
      <c r="B988" s="144"/>
      <c r="C988" s="145"/>
      <c r="D988" s="145"/>
      <c r="E988" s="146"/>
      <c r="N988" s="91"/>
      <c r="O988" s="142"/>
    </row>
    <row r="989" ht="13.5" customHeight="1">
      <c r="A989" s="143"/>
      <c r="B989" s="144"/>
      <c r="C989" s="145"/>
      <c r="D989" s="145"/>
      <c r="E989" s="146"/>
      <c r="N989" s="91"/>
      <c r="O989" s="142"/>
    </row>
    <row r="990" ht="13.5" customHeight="1">
      <c r="A990" s="143"/>
      <c r="B990" s="144"/>
      <c r="C990" s="145"/>
      <c r="D990" s="145"/>
      <c r="E990" s="146"/>
      <c r="N990" s="91"/>
      <c r="O990" s="142"/>
    </row>
    <row r="991" ht="13.5" customHeight="1">
      <c r="A991" s="143"/>
      <c r="B991" s="144"/>
      <c r="C991" s="145"/>
      <c r="D991" s="145"/>
      <c r="E991" s="146"/>
      <c r="N991" s="91"/>
      <c r="O991" s="142"/>
    </row>
    <row r="992" ht="13.5" customHeight="1">
      <c r="A992" s="143"/>
      <c r="B992" s="144"/>
      <c r="C992" s="145"/>
      <c r="D992" s="145"/>
      <c r="E992" s="146"/>
      <c r="N992" s="91"/>
      <c r="O992" s="142"/>
    </row>
    <row r="993" ht="13.5" customHeight="1">
      <c r="A993" s="143"/>
      <c r="B993" s="144"/>
      <c r="C993" s="145"/>
      <c r="D993" s="145"/>
      <c r="E993" s="146"/>
      <c r="N993" s="91"/>
      <c r="O993" s="142"/>
    </row>
    <row r="994" ht="13.5" customHeight="1">
      <c r="A994" s="143"/>
      <c r="B994" s="144"/>
      <c r="C994" s="145"/>
      <c r="D994" s="145"/>
      <c r="E994" s="146"/>
      <c r="N994" s="91"/>
      <c r="O994" s="142"/>
    </row>
    <row r="995" ht="13.5" customHeight="1">
      <c r="A995" s="143"/>
      <c r="B995" s="144"/>
      <c r="C995" s="145"/>
      <c r="D995" s="145"/>
      <c r="E995" s="146"/>
      <c r="N995" s="91"/>
      <c r="O995" s="142"/>
    </row>
    <row r="996" ht="13.5" customHeight="1">
      <c r="A996" s="143"/>
      <c r="B996" s="144"/>
      <c r="C996" s="145"/>
      <c r="D996" s="145"/>
      <c r="E996" s="146"/>
      <c r="N996" s="91"/>
      <c r="O996" s="142"/>
    </row>
    <row r="997" ht="13.5" customHeight="1">
      <c r="A997" s="143"/>
      <c r="B997" s="144"/>
      <c r="C997" s="145"/>
      <c r="D997" s="145"/>
      <c r="E997" s="146"/>
      <c r="N997" s="91"/>
      <c r="O997" s="142"/>
    </row>
    <row r="998" ht="13.5" customHeight="1">
      <c r="A998" s="143"/>
      <c r="B998" s="144"/>
      <c r="C998" s="145"/>
      <c r="D998" s="145"/>
      <c r="E998" s="146"/>
      <c r="N998" s="91"/>
      <c r="O998" s="142"/>
    </row>
    <row r="999" ht="13.5" customHeight="1">
      <c r="A999" s="143"/>
      <c r="B999" s="144"/>
      <c r="C999" s="145"/>
      <c r="D999" s="145"/>
      <c r="E999" s="146"/>
      <c r="N999" s="91"/>
      <c r="O999" s="142"/>
    </row>
    <row r="1000" ht="13.5" customHeight="1">
      <c r="A1000" s="143"/>
      <c r="B1000" s="144"/>
      <c r="C1000" s="145"/>
      <c r="D1000" s="145"/>
      <c r="E1000" s="146"/>
      <c r="N1000" s="91"/>
      <c r="O1000" s="142"/>
    </row>
    <row r="1001" ht="13.5" customHeight="1">
      <c r="A1001" s="143"/>
      <c r="B1001" s="144"/>
      <c r="C1001" s="145"/>
      <c r="D1001" s="145"/>
      <c r="E1001" s="146"/>
      <c r="N1001" s="91"/>
      <c r="O1001" s="142"/>
    </row>
    <row r="1002" ht="13.5" customHeight="1">
      <c r="A1002" s="143"/>
      <c r="B1002" s="144"/>
      <c r="C1002" s="145"/>
      <c r="D1002" s="145"/>
      <c r="E1002" s="146"/>
      <c r="N1002" s="91"/>
      <c r="O1002" s="142"/>
    </row>
  </sheetData>
  <mergeCells count="2">
    <mergeCell ref="K3:K4"/>
    <mergeCell ref="L3:L4"/>
  </mergeCells>
  <conditionalFormatting sqref="S7:S30 T7:T31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A2:A1002">
      <formula1>GENERAL!$B$13:$B$40</formula1>
    </dataValidation>
    <dataValidation type="date" operator="lessThanOrEqual" allowBlank="1" showInputMessage="1" showErrorMessage="1" prompt="dd/MM/yyyy" sqref="E4:E62">
      <formula1>TODAY()</formula1>
    </dataValidation>
  </dataValidations>
  <hyperlinks>
    <hyperlink r:id="rId1" ref="L11"/>
    <hyperlink r:id="rId2" ref="L23"/>
    <hyperlink r:id="rId3" ref="L27"/>
  </hyperlinks>
  <printOptions/>
  <pageMargins bottom="0.75" footer="0.0" header="0.0" left="0.7" right="0.7" top="0.75"/>
  <pageSetup orientation="landscape"/>
  <drawing r:id="rId4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10.43"/>
    <col customWidth="1" min="3" max="3" width="12.57"/>
    <col customWidth="1" min="4" max="5" width="6.86"/>
    <col customWidth="1" min="6" max="6" width="10.71"/>
    <col customWidth="1" min="8" max="8" width="19.57"/>
  </cols>
  <sheetData>
    <row r="1">
      <c r="A1" s="94" t="s">
        <v>13</v>
      </c>
      <c r="B1" s="95" t="s">
        <v>104</v>
      </c>
      <c r="C1" s="147" t="s">
        <v>126</v>
      </c>
      <c r="D1" s="148" t="s">
        <v>127</v>
      </c>
      <c r="E1" s="148" t="s">
        <v>128</v>
      </c>
      <c r="F1" s="99" t="s">
        <v>129</v>
      </c>
      <c r="G1" s="99" t="s">
        <v>130</v>
      </c>
      <c r="H1" s="99" t="s">
        <v>131</v>
      </c>
    </row>
    <row r="2">
      <c r="A2" s="102" t="s">
        <v>63</v>
      </c>
      <c r="B2" s="112">
        <v>4.0</v>
      </c>
      <c r="C2" s="149">
        <f>FMTY14!C10/3</f>
        <v>0.102889</v>
      </c>
      <c r="D2" s="150">
        <f t="shared" ref="D2:D9" si="1">B2*C2</f>
        <v>0.411556</v>
      </c>
      <c r="E2" s="150">
        <f t="shared" ref="E2:E9" si="2">IF(H2="Reembolso de Capital",D2,D2*0.7)</f>
        <v>0.411556</v>
      </c>
      <c r="F2" s="106">
        <v>45014.0</v>
      </c>
      <c r="G2" s="143" t="str">
        <f t="shared" ref="G2:G9" si="3">IF(IF(ROUNDUP(MONTH(F2)/3,0)-1=0,4,ROUNDUP(MONTH(F2)/3,0)-1)=4,YEAR(F2)-1,YEAR(F2)) &amp; " Q" &amp; IF(ROUNDUP(MONTH(F2)/3,0)-1=0,4,ROUNDUP(MONTH(F2)/3,0)-1)</f>
        <v>2022 Q4</v>
      </c>
      <c r="H2" s="143" t="str">
        <f>FMTY14_DIV!F2</f>
        <v>Reembolso de Capital</v>
      </c>
      <c r="J2" s="108"/>
      <c r="K2" s="108"/>
      <c r="L2" s="108"/>
      <c r="M2" s="109"/>
      <c r="N2" s="109"/>
    </row>
    <row r="3">
      <c r="A3" s="102" t="s">
        <v>103</v>
      </c>
      <c r="B3" s="103">
        <v>45.0</v>
      </c>
      <c r="C3" s="149">
        <f>FIBRATC14_DIV!C2</f>
        <v>0.013681</v>
      </c>
      <c r="D3" s="150">
        <f t="shared" si="1"/>
        <v>0.615645</v>
      </c>
      <c r="E3" s="150">
        <f t="shared" si="2"/>
        <v>0.4309515</v>
      </c>
      <c r="F3" s="106">
        <v>45021.0</v>
      </c>
      <c r="G3" s="143" t="str">
        <f t="shared" si="3"/>
        <v>2023 Q1</v>
      </c>
      <c r="H3" s="103" t="s">
        <v>132</v>
      </c>
      <c r="J3" s="7" t="s">
        <v>3</v>
      </c>
      <c r="K3" s="8"/>
      <c r="L3" s="10"/>
      <c r="M3" s="6">
        <f>SUM(D:D)</f>
        <v>39.773589</v>
      </c>
      <c r="N3" s="12"/>
    </row>
    <row r="4">
      <c r="A4" s="102" t="s">
        <v>76</v>
      </c>
      <c r="B4" s="112">
        <v>7.0</v>
      </c>
      <c r="C4" s="149">
        <f>FPLUS16!B10</f>
        <v>0.0868</v>
      </c>
      <c r="D4" s="150">
        <f t="shared" si="1"/>
        <v>0.6076</v>
      </c>
      <c r="E4" s="150">
        <f t="shared" si="2"/>
        <v>0.6076</v>
      </c>
      <c r="F4" s="106">
        <v>45037.0</v>
      </c>
      <c r="G4" s="143" t="str">
        <f t="shared" si="3"/>
        <v>2023 Q1</v>
      </c>
      <c r="H4" s="103" t="s">
        <v>133</v>
      </c>
      <c r="J4" s="16"/>
      <c r="K4" s="17"/>
      <c r="L4" s="10"/>
      <c r="M4" s="15"/>
      <c r="N4" s="12"/>
    </row>
    <row r="5">
      <c r="A5" s="102" t="s">
        <v>62</v>
      </c>
      <c r="B5" s="112">
        <v>36.0</v>
      </c>
      <c r="C5" s="105">
        <f>FUNO11_DIV!C2</f>
        <v>0.389133</v>
      </c>
      <c r="D5" s="150">
        <f t="shared" si="1"/>
        <v>14.008788</v>
      </c>
      <c r="E5" s="150">
        <f t="shared" si="2"/>
        <v>9.8061516</v>
      </c>
      <c r="F5" s="106">
        <v>45051.0</v>
      </c>
      <c r="G5" s="143" t="str">
        <f t="shared" si="3"/>
        <v>2023 Q1</v>
      </c>
      <c r="H5" s="103" t="s">
        <v>132</v>
      </c>
      <c r="J5" s="1"/>
      <c r="K5" s="1"/>
      <c r="L5" s="1"/>
      <c r="M5" s="1"/>
      <c r="N5" s="1"/>
    </row>
    <row r="6">
      <c r="A6" s="103" t="s">
        <v>103</v>
      </c>
      <c r="B6" s="123">
        <v>1.0</v>
      </c>
      <c r="C6" s="104">
        <v>0.11</v>
      </c>
      <c r="D6" s="150">
        <f t="shared" si="1"/>
        <v>0.11</v>
      </c>
      <c r="E6" s="150">
        <f t="shared" si="2"/>
        <v>0.077</v>
      </c>
      <c r="F6" s="106">
        <v>45051.0</v>
      </c>
      <c r="G6" s="143" t="str">
        <f t="shared" si="3"/>
        <v>2023 Q1</v>
      </c>
      <c r="H6" s="103" t="s">
        <v>132</v>
      </c>
      <c r="J6" s="7" t="s">
        <v>9</v>
      </c>
      <c r="K6" s="8"/>
      <c r="L6" s="10"/>
      <c r="M6" s="6">
        <f>SUM(E:E)</f>
        <v>31.0395831</v>
      </c>
      <c r="N6" s="12"/>
    </row>
    <row r="7">
      <c r="A7" s="103" t="s">
        <v>103</v>
      </c>
      <c r="B7" s="123">
        <v>1.0</v>
      </c>
      <c r="C7" s="104">
        <v>0.02</v>
      </c>
      <c r="D7" s="150">
        <f t="shared" si="1"/>
        <v>0.02</v>
      </c>
      <c r="E7" s="150">
        <f t="shared" si="2"/>
        <v>0.02</v>
      </c>
      <c r="F7" s="106">
        <v>45051.0</v>
      </c>
      <c r="G7" s="143" t="str">
        <f t="shared" si="3"/>
        <v>2023 Q1</v>
      </c>
      <c r="H7" s="103" t="s">
        <v>133</v>
      </c>
      <c r="J7" s="16"/>
      <c r="K7" s="17"/>
      <c r="L7" s="10"/>
      <c r="M7" s="15"/>
      <c r="N7" s="12"/>
    </row>
    <row r="8">
      <c r="A8" s="103" t="s">
        <v>61</v>
      </c>
      <c r="B8" s="123">
        <v>40.0</v>
      </c>
      <c r="C8" s="104">
        <f>DANHOS13_DIV!C2</f>
        <v>0.240527</v>
      </c>
      <c r="D8" s="150">
        <f t="shared" si="1"/>
        <v>9.62108</v>
      </c>
      <c r="E8" s="150">
        <f t="shared" si="2"/>
        <v>9.62108</v>
      </c>
      <c r="F8" s="106">
        <v>45051.0</v>
      </c>
      <c r="G8" s="143" t="str">
        <f t="shared" si="3"/>
        <v>2023 Q1</v>
      </c>
      <c r="H8" s="103" t="s">
        <v>133</v>
      </c>
    </row>
    <row r="9">
      <c r="A9" s="103" t="s">
        <v>61</v>
      </c>
      <c r="B9" s="123">
        <v>40.0</v>
      </c>
      <c r="C9" s="104">
        <f>DANHOS13_DIV!C3</f>
        <v>0.359473</v>
      </c>
      <c r="D9" s="150">
        <f t="shared" si="1"/>
        <v>14.37892</v>
      </c>
      <c r="E9" s="150">
        <f t="shared" si="2"/>
        <v>10.065244</v>
      </c>
      <c r="F9" s="106">
        <v>45051.0</v>
      </c>
      <c r="G9" s="143" t="str">
        <f t="shared" si="3"/>
        <v>2023 Q1</v>
      </c>
      <c r="H9" s="103" t="s">
        <v>132</v>
      </c>
    </row>
    <row r="10">
      <c r="A10" s="143"/>
      <c r="B10" s="123"/>
      <c r="C10" s="104"/>
      <c r="D10" s="151"/>
      <c r="E10" s="151"/>
      <c r="F10" s="152"/>
    </row>
    <row r="11">
      <c r="A11" s="143"/>
      <c r="B11" s="123"/>
      <c r="C11" s="104"/>
      <c r="D11" s="151"/>
      <c r="E11" s="151"/>
      <c r="F11" s="152"/>
    </row>
    <row r="12">
      <c r="A12" s="143"/>
      <c r="B12" s="123"/>
      <c r="C12" s="104"/>
      <c r="D12" s="151"/>
      <c r="E12" s="151"/>
      <c r="F12" s="152"/>
    </row>
    <row r="13">
      <c r="A13" s="143"/>
      <c r="B13" s="144"/>
      <c r="C13" s="145"/>
      <c r="D13" s="93"/>
      <c r="E13" s="93"/>
      <c r="F13" s="146"/>
    </row>
    <row r="14">
      <c r="A14" s="143"/>
      <c r="B14" s="144"/>
      <c r="C14" s="145"/>
      <c r="D14" s="93"/>
      <c r="E14" s="93"/>
      <c r="F14" s="146"/>
    </row>
    <row r="15">
      <c r="A15" s="143"/>
      <c r="B15" s="144"/>
      <c r="C15" s="145"/>
      <c r="D15" s="93"/>
      <c r="E15" s="93"/>
      <c r="F15" s="146"/>
    </row>
    <row r="16">
      <c r="A16" s="143"/>
      <c r="B16" s="144"/>
      <c r="C16" s="145"/>
      <c r="D16" s="93"/>
      <c r="E16" s="93"/>
      <c r="F16" s="146"/>
    </row>
    <row r="17">
      <c r="A17" s="143"/>
      <c r="B17" s="144"/>
      <c r="C17" s="145"/>
      <c r="D17" s="93"/>
      <c r="E17" s="93"/>
      <c r="F17" s="146"/>
    </row>
    <row r="18">
      <c r="A18" s="143"/>
      <c r="B18" s="144"/>
      <c r="C18" s="145"/>
      <c r="D18" s="93"/>
      <c r="E18" s="93"/>
      <c r="F18" s="146"/>
    </row>
    <row r="19">
      <c r="A19" s="143"/>
      <c r="B19" s="144"/>
      <c r="C19" s="145"/>
      <c r="D19" s="93"/>
      <c r="E19" s="93"/>
      <c r="F19" s="146"/>
    </row>
    <row r="20">
      <c r="A20" s="143"/>
      <c r="B20" s="144"/>
      <c r="C20" s="145"/>
      <c r="D20" s="93"/>
      <c r="E20" s="93"/>
      <c r="F20" s="146"/>
    </row>
    <row r="21">
      <c r="A21" s="143"/>
      <c r="B21" s="144"/>
      <c r="C21" s="145"/>
      <c r="D21" s="93"/>
      <c r="E21" s="93"/>
      <c r="F21" s="146"/>
    </row>
    <row r="22">
      <c r="A22" s="143"/>
      <c r="B22" s="144"/>
      <c r="C22" s="145"/>
      <c r="D22" s="93"/>
      <c r="E22" s="93"/>
      <c r="F22" s="146"/>
    </row>
    <row r="23">
      <c r="A23" s="143"/>
      <c r="B23" s="144"/>
      <c r="C23" s="145"/>
      <c r="D23" s="93"/>
      <c r="E23" s="93"/>
      <c r="F23" s="146"/>
    </row>
    <row r="24">
      <c r="A24" s="143"/>
      <c r="B24" s="144"/>
      <c r="C24" s="145"/>
      <c r="D24" s="93"/>
      <c r="E24" s="93"/>
      <c r="F24" s="146"/>
    </row>
    <row r="25">
      <c r="A25" s="143"/>
      <c r="B25" s="144"/>
      <c r="C25" s="145"/>
      <c r="D25" s="93"/>
      <c r="E25" s="93"/>
      <c r="F25" s="146"/>
    </row>
    <row r="26">
      <c r="A26" s="143"/>
      <c r="B26" s="144"/>
      <c r="C26" s="145"/>
      <c r="D26" s="93"/>
      <c r="E26" s="93"/>
      <c r="F26" s="146"/>
    </row>
    <row r="27">
      <c r="A27" s="143"/>
      <c r="B27" s="144"/>
      <c r="C27" s="145"/>
      <c r="D27" s="93"/>
      <c r="E27" s="93"/>
      <c r="F27" s="146"/>
    </row>
    <row r="28">
      <c r="A28" s="143"/>
      <c r="B28" s="144"/>
      <c r="C28" s="145"/>
      <c r="D28" s="93"/>
      <c r="E28" s="93"/>
      <c r="F28" s="146"/>
    </row>
    <row r="29">
      <c r="A29" s="143"/>
      <c r="B29" s="144"/>
      <c r="C29" s="145"/>
      <c r="D29" s="93"/>
      <c r="E29" s="93"/>
      <c r="F29" s="146"/>
    </row>
    <row r="30">
      <c r="A30" s="143"/>
      <c r="B30" s="144"/>
      <c r="C30" s="145"/>
      <c r="D30" s="93"/>
      <c r="E30" s="93"/>
      <c r="F30" s="146"/>
    </row>
    <row r="31">
      <c r="A31" s="143"/>
      <c r="B31" s="144"/>
      <c r="C31" s="145"/>
      <c r="D31" s="93"/>
      <c r="E31" s="93"/>
      <c r="F31" s="146"/>
    </row>
    <row r="32">
      <c r="A32" s="143"/>
      <c r="B32" s="144"/>
      <c r="C32" s="145"/>
      <c r="D32" s="93"/>
      <c r="E32" s="93"/>
      <c r="F32" s="146"/>
    </row>
    <row r="33">
      <c r="A33" s="143"/>
      <c r="B33" s="144"/>
      <c r="C33" s="145"/>
      <c r="D33" s="93"/>
      <c r="E33" s="93"/>
      <c r="F33" s="146"/>
    </row>
    <row r="34">
      <c r="A34" s="143"/>
      <c r="B34" s="144"/>
      <c r="C34" s="145"/>
      <c r="D34" s="93"/>
      <c r="E34" s="93"/>
      <c r="F34" s="146"/>
    </row>
    <row r="35">
      <c r="A35" s="143"/>
      <c r="B35" s="144"/>
      <c r="C35" s="145"/>
      <c r="D35" s="93"/>
      <c r="E35" s="93"/>
      <c r="F35" s="146"/>
    </row>
    <row r="36">
      <c r="A36" s="143"/>
      <c r="B36" s="144"/>
      <c r="C36" s="145"/>
      <c r="D36" s="93"/>
      <c r="E36" s="93"/>
      <c r="F36" s="146"/>
    </row>
    <row r="37">
      <c r="A37" s="143"/>
      <c r="B37" s="144"/>
      <c r="C37" s="145"/>
      <c r="D37" s="93"/>
      <c r="E37" s="93"/>
      <c r="F37" s="146"/>
    </row>
    <row r="38">
      <c r="A38" s="143"/>
      <c r="B38" s="144"/>
      <c r="C38" s="145"/>
      <c r="D38" s="93"/>
      <c r="E38" s="93"/>
      <c r="F38" s="146"/>
    </row>
    <row r="39">
      <c r="A39" s="143"/>
      <c r="B39" s="144"/>
      <c r="C39" s="145"/>
      <c r="D39" s="93"/>
      <c r="E39" s="93"/>
      <c r="F39" s="146"/>
    </row>
    <row r="40">
      <c r="A40" s="143"/>
      <c r="B40" s="144"/>
      <c r="C40" s="145"/>
      <c r="D40" s="93"/>
      <c r="E40" s="93"/>
      <c r="F40" s="146"/>
    </row>
    <row r="41">
      <c r="A41" s="143"/>
      <c r="B41" s="144"/>
      <c r="C41" s="145"/>
      <c r="D41" s="93"/>
      <c r="E41" s="93"/>
      <c r="F41" s="146"/>
    </row>
    <row r="42">
      <c r="A42" s="143"/>
      <c r="B42" s="144"/>
      <c r="C42" s="145"/>
      <c r="D42" s="93"/>
      <c r="E42" s="93"/>
      <c r="F42" s="146"/>
    </row>
    <row r="43">
      <c r="A43" s="143"/>
      <c r="B43" s="144"/>
      <c r="C43" s="145"/>
      <c r="D43" s="93"/>
      <c r="E43" s="93"/>
      <c r="F43" s="146"/>
    </row>
    <row r="44">
      <c r="A44" s="143"/>
      <c r="B44" s="144"/>
      <c r="C44" s="145"/>
      <c r="D44" s="93"/>
      <c r="E44" s="93"/>
      <c r="F44" s="146"/>
    </row>
    <row r="45">
      <c r="A45" s="143"/>
      <c r="B45" s="144"/>
      <c r="C45" s="145"/>
      <c r="D45" s="93"/>
      <c r="E45" s="93"/>
      <c r="F45" s="146"/>
    </row>
    <row r="46">
      <c r="A46" s="143"/>
      <c r="B46" s="144"/>
      <c r="C46" s="145"/>
      <c r="D46" s="93"/>
      <c r="E46" s="93"/>
      <c r="F46" s="146"/>
    </row>
    <row r="47">
      <c r="A47" s="143"/>
      <c r="B47" s="144"/>
      <c r="C47" s="145"/>
      <c r="D47" s="93"/>
      <c r="E47" s="93"/>
      <c r="F47" s="146"/>
    </row>
    <row r="48">
      <c r="A48" s="143"/>
      <c r="B48" s="144"/>
      <c r="C48" s="145"/>
      <c r="D48" s="93"/>
      <c r="E48" s="93"/>
      <c r="F48" s="146"/>
    </row>
    <row r="49">
      <c r="A49" s="143"/>
      <c r="B49" s="144"/>
      <c r="C49" s="145"/>
      <c r="D49" s="93"/>
      <c r="E49" s="93"/>
      <c r="F49" s="146"/>
    </row>
    <row r="50">
      <c r="A50" s="143"/>
      <c r="B50" s="144"/>
      <c r="C50" s="145"/>
      <c r="D50" s="93"/>
      <c r="E50" s="93"/>
      <c r="F50" s="146"/>
    </row>
    <row r="51">
      <c r="A51" s="143"/>
      <c r="B51" s="144"/>
      <c r="C51" s="145"/>
      <c r="D51" s="93"/>
      <c r="E51" s="93"/>
      <c r="F51" s="146"/>
    </row>
    <row r="52">
      <c r="A52" s="143"/>
      <c r="B52" s="144"/>
      <c r="C52" s="145"/>
      <c r="D52" s="93"/>
      <c r="E52" s="93"/>
      <c r="F52" s="146"/>
    </row>
    <row r="53">
      <c r="A53" s="143"/>
      <c r="B53" s="144"/>
      <c r="C53" s="145"/>
      <c r="D53" s="93"/>
      <c r="E53" s="93"/>
      <c r="F53" s="146"/>
    </row>
    <row r="54">
      <c r="A54" s="143"/>
      <c r="B54" s="144"/>
      <c r="C54" s="145"/>
      <c r="D54" s="93"/>
      <c r="E54" s="93"/>
      <c r="F54" s="146"/>
    </row>
    <row r="55">
      <c r="A55" s="143"/>
      <c r="B55" s="144"/>
      <c r="C55" s="145"/>
      <c r="D55" s="93"/>
      <c r="E55" s="93"/>
      <c r="F55" s="146"/>
    </row>
    <row r="56">
      <c r="A56" s="143"/>
      <c r="B56" s="144"/>
      <c r="C56" s="145"/>
      <c r="D56" s="93"/>
      <c r="E56" s="93"/>
      <c r="F56" s="146"/>
    </row>
    <row r="57">
      <c r="A57" s="143"/>
      <c r="B57" s="144"/>
      <c r="C57" s="145"/>
      <c r="D57" s="93"/>
      <c r="E57" s="93"/>
      <c r="F57" s="146"/>
    </row>
    <row r="58">
      <c r="A58" s="143"/>
      <c r="B58" s="144"/>
      <c r="C58" s="145"/>
      <c r="D58" s="93"/>
      <c r="E58" s="93"/>
      <c r="F58" s="146"/>
    </row>
    <row r="59">
      <c r="A59" s="143"/>
      <c r="B59" s="144"/>
      <c r="C59" s="145"/>
      <c r="D59" s="93"/>
      <c r="E59" s="93"/>
      <c r="F59" s="146"/>
    </row>
    <row r="60">
      <c r="A60" s="143"/>
      <c r="B60" s="144"/>
      <c r="C60" s="145"/>
      <c r="D60" s="93"/>
      <c r="E60" s="93"/>
      <c r="F60" s="146"/>
    </row>
    <row r="61">
      <c r="A61" s="143"/>
      <c r="B61" s="144"/>
      <c r="C61" s="145"/>
      <c r="D61" s="93"/>
      <c r="E61" s="93"/>
      <c r="F61" s="146"/>
    </row>
    <row r="62">
      <c r="A62" s="143"/>
      <c r="B62" s="144"/>
      <c r="C62" s="145"/>
      <c r="D62" s="93"/>
      <c r="E62" s="93"/>
      <c r="F62" s="146"/>
    </row>
    <row r="63">
      <c r="A63" s="143"/>
      <c r="B63" s="144"/>
      <c r="C63" s="145"/>
      <c r="D63" s="93"/>
      <c r="E63" s="93"/>
      <c r="F63" s="146"/>
    </row>
    <row r="64">
      <c r="A64" s="143"/>
      <c r="B64" s="144"/>
      <c r="C64" s="145"/>
      <c r="D64" s="93"/>
      <c r="E64" s="93"/>
      <c r="F64" s="146"/>
    </row>
    <row r="65">
      <c r="A65" s="143"/>
      <c r="B65" s="144"/>
      <c r="C65" s="145"/>
      <c r="D65" s="93"/>
      <c r="E65" s="93"/>
      <c r="F65" s="146"/>
    </row>
    <row r="66">
      <c r="A66" s="143"/>
      <c r="B66" s="144"/>
      <c r="C66" s="145"/>
      <c r="D66" s="93"/>
      <c r="E66" s="93"/>
      <c r="F66" s="146"/>
    </row>
    <row r="67">
      <c r="A67" s="143"/>
      <c r="B67" s="144"/>
      <c r="C67" s="145"/>
      <c r="D67" s="93"/>
      <c r="E67" s="93"/>
      <c r="F67" s="146"/>
    </row>
    <row r="68">
      <c r="A68" s="143"/>
      <c r="B68" s="144"/>
      <c r="C68" s="145"/>
      <c r="D68" s="93"/>
      <c r="E68" s="93"/>
      <c r="F68" s="146"/>
    </row>
    <row r="69">
      <c r="A69" s="143"/>
      <c r="B69" s="144"/>
      <c r="C69" s="145"/>
      <c r="D69" s="93"/>
      <c r="E69" s="93"/>
      <c r="F69" s="146"/>
    </row>
    <row r="70">
      <c r="A70" s="143"/>
      <c r="B70" s="144"/>
      <c r="C70" s="145"/>
      <c r="D70" s="93"/>
      <c r="E70" s="93"/>
      <c r="F70" s="146"/>
    </row>
    <row r="71">
      <c r="A71" s="143"/>
      <c r="B71" s="144"/>
      <c r="C71" s="145"/>
      <c r="D71" s="93"/>
      <c r="E71" s="93"/>
      <c r="F71" s="146"/>
    </row>
    <row r="72">
      <c r="A72" s="143"/>
      <c r="B72" s="144"/>
      <c r="C72" s="145"/>
      <c r="D72" s="93"/>
      <c r="E72" s="93"/>
      <c r="F72" s="146"/>
    </row>
    <row r="73">
      <c r="A73" s="143"/>
      <c r="B73" s="144"/>
      <c r="C73" s="145"/>
      <c r="D73" s="93"/>
      <c r="E73" s="93"/>
      <c r="F73" s="146"/>
    </row>
    <row r="74">
      <c r="A74" s="143"/>
      <c r="B74" s="144"/>
      <c r="C74" s="145"/>
      <c r="D74" s="93"/>
      <c r="E74" s="93"/>
      <c r="F74" s="146"/>
    </row>
    <row r="75">
      <c r="A75" s="143"/>
      <c r="B75" s="144"/>
      <c r="C75" s="145"/>
      <c r="D75" s="93"/>
      <c r="E75" s="93"/>
      <c r="F75" s="146"/>
    </row>
    <row r="76">
      <c r="A76" s="143"/>
      <c r="B76" s="144"/>
      <c r="C76" s="145"/>
      <c r="D76" s="93"/>
      <c r="E76" s="93"/>
      <c r="F76" s="146"/>
    </row>
    <row r="77">
      <c r="A77" s="143"/>
      <c r="B77" s="144"/>
      <c r="C77" s="145"/>
      <c r="D77" s="93"/>
      <c r="E77" s="93"/>
      <c r="F77" s="146"/>
    </row>
    <row r="78">
      <c r="A78" s="143"/>
      <c r="B78" s="144"/>
      <c r="C78" s="145"/>
      <c r="D78" s="93"/>
      <c r="E78" s="93"/>
      <c r="F78" s="146"/>
    </row>
    <row r="79">
      <c r="A79" s="143"/>
      <c r="B79" s="144"/>
      <c r="C79" s="145"/>
      <c r="D79" s="93"/>
      <c r="E79" s="93"/>
      <c r="F79" s="146"/>
    </row>
    <row r="80">
      <c r="A80" s="143"/>
      <c r="B80" s="144"/>
      <c r="C80" s="145"/>
      <c r="D80" s="93"/>
      <c r="E80" s="93"/>
      <c r="F80" s="146"/>
    </row>
    <row r="81">
      <c r="A81" s="143"/>
      <c r="B81" s="144"/>
      <c r="C81" s="145"/>
      <c r="D81" s="93"/>
      <c r="E81" s="93"/>
      <c r="F81" s="146"/>
    </row>
    <row r="82">
      <c r="A82" s="143"/>
      <c r="B82" s="144"/>
      <c r="C82" s="145"/>
      <c r="D82" s="93"/>
      <c r="E82" s="93"/>
      <c r="F82" s="146"/>
    </row>
    <row r="83">
      <c r="A83" s="143"/>
      <c r="B83" s="144"/>
      <c r="C83" s="145"/>
      <c r="D83" s="93"/>
      <c r="E83" s="93"/>
      <c r="F83" s="146"/>
    </row>
    <row r="84">
      <c r="A84" s="143"/>
      <c r="B84" s="144"/>
      <c r="C84" s="145"/>
      <c r="D84" s="93"/>
      <c r="E84" s="93"/>
      <c r="F84" s="146"/>
    </row>
    <row r="85">
      <c r="A85" s="143"/>
      <c r="B85" s="144"/>
      <c r="C85" s="145"/>
      <c r="D85" s="93"/>
      <c r="E85" s="93"/>
      <c r="F85" s="146"/>
    </row>
    <row r="86">
      <c r="A86" s="143"/>
      <c r="B86" s="144"/>
      <c r="C86" s="145"/>
      <c r="D86" s="93"/>
      <c r="E86" s="93"/>
      <c r="F86" s="146"/>
    </row>
    <row r="87">
      <c r="A87" s="143"/>
      <c r="B87" s="144"/>
      <c r="C87" s="145"/>
      <c r="D87" s="93"/>
      <c r="E87" s="93"/>
      <c r="F87" s="146"/>
    </row>
    <row r="88">
      <c r="A88" s="143"/>
      <c r="B88" s="144"/>
      <c r="C88" s="145"/>
      <c r="D88" s="93"/>
      <c r="E88" s="93"/>
      <c r="F88" s="146"/>
    </row>
    <row r="89">
      <c r="A89" s="143"/>
      <c r="B89" s="144"/>
      <c r="C89" s="145"/>
      <c r="D89" s="93"/>
      <c r="E89" s="93"/>
      <c r="F89" s="146"/>
    </row>
    <row r="90">
      <c r="A90" s="143"/>
      <c r="B90" s="144"/>
      <c r="C90" s="145"/>
      <c r="D90" s="93"/>
      <c r="E90" s="93"/>
      <c r="F90" s="146"/>
    </row>
    <row r="91">
      <c r="A91" s="143"/>
      <c r="B91" s="144"/>
      <c r="C91" s="145"/>
      <c r="D91" s="93"/>
      <c r="E91" s="93"/>
      <c r="F91" s="146"/>
    </row>
    <row r="92">
      <c r="A92" s="143"/>
      <c r="B92" s="144"/>
      <c r="C92" s="145"/>
      <c r="D92" s="93"/>
      <c r="E92" s="93"/>
      <c r="F92" s="146"/>
    </row>
    <row r="93">
      <c r="A93" s="143"/>
      <c r="B93" s="144"/>
      <c r="C93" s="145"/>
      <c r="D93" s="93"/>
      <c r="E93" s="93"/>
      <c r="F93" s="146"/>
    </row>
    <row r="94">
      <c r="A94" s="143"/>
      <c r="B94" s="144"/>
      <c r="C94" s="145"/>
      <c r="D94" s="93"/>
      <c r="E94" s="93"/>
      <c r="F94" s="146"/>
    </row>
    <row r="95">
      <c r="A95" s="143"/>
      <c r="B95" s="144"/>
      <c r="C95" s="145"/>
      <c r="D95" s="93"/>
      <c r="E95" s="93"/>
      <c r="F95" s="146"/>
    </row>
    <row r="96">
      <c r="A96" s="143"/>
      <c r="B96" s="144"/>
      <c r="C96" s="145"/>
      <c r="D96" s="93"/>
      <c r="E96" s="93"/>
      <c r="F96" s="146"/>
    </row>
    <row r="97">
      <c r="A97" s="143"/>
      <c r="B97" s="144"/>
      <c r="C97" s="145"/>
      <c r="D97" s="93"/>
      <c r="E97" s="93"/>
      <c r="F97" s="146"/>
    </row>
    <row r="98">
      <c r="A98" s="143"/>
      <c r="B98" s="144"/>
      <c r="C98" s="145"/>
      <c r="D98" s="93"/>
      <c r="E98" s="93"/>
      <c r="F98" s="146"/>
    </row>
    <row r="99">
      <c r="A99" s="143"/>
      <c r="B99" s="144"/>
      <c r="C99" s="145"/>
      <c r="D99" s="93"/>
      <c r="E99" s="93"/>
      <c r="F99" s="146"/>
    </row>
    <row r="100">
      <c r="A100" s="143"/>
      <c r="B100" s="144"/>
      <c r="C100" s="145"/>
      <c r="D100" s="93"/>
      <c r="E100" s="93"/>
      <c r="F100" s="146"/>
    </row>
    <row r="101">
      <c r="A101" s="143"/>
      <c r="B101" s="144"/>
      <c r="C101" s="145"/>
      <c r="D101" s="93"/>
      <c r="E101" s="93"/>
      <c r="F101" s="146"/>
    </row>
    <row r="102">
      <c r="A102" s="143"/>
      <c r="B102" s="144"/>
      <c r="C102" s="145"/>
      <c r="D102" s="93"/>
      <c r="E102" s="93"/>
      <c r="F102" s="146"/>
    </row>
    <row r="103">
      <c r="A103" s="143"/>
      <c r="B103" s="144"/>
      <c r="C103" s="145"/>
      <c r="D103" s="93"/>
      <c r="E103" s="93"/>
      <c r="F103" s="146"/>
    </row>
    <row r="104">
      <c r="A104" s="143"/>
      <c r="B104" s="144"/>
      <c r="C104" s="145"/>
      <c r="D104" s="93"/>
      <c r="E104" s="93"/>
      <c r="F104" s="146"/>
    </row>
    <row r="105">
      <c r="A105" s="143"/>
      <c r="B105" s="144"/>
      <c r="C105" s="145"/>
      <c r="D105" s="93"/>
      <c r="E105" s="93"/>
      <c r="F105" s="146"/>
    </row>
    <row r="106">
      <c r="A106" s="143"/>
      <c r="B106" s="144"/>
      <c r="C106" s="145"/>
      <c r="D106" s="93"/>
      <c r="E106" s="93"/>
      <c r="F106" s="146"/>
    </row>
    <row r="107">
      <c r="A107" s="143"/>
      <c r="B107" s="144"/>
      <c r="C107" s="145"/>
      <c r="D107" s="93"/>
      <c r="E107" s="93"/>
      <c r="F107" s="146"/>
    </row>
    <row r="108">
      <c r="A108" s="143"/>
      <c r="B108" s="144"/>
      <c r="C108" s="145"/>
      <c r="D108" s="93"/>
      <c r="E108" s="93"/>
      <c r="F108" s="146"/>
    </row>
    <row r="109">
      <c r="A109" s="143"/>
      <c r="B109" s="144"/>
      <c r="C109" s="145"/>
      <c r="D109" s="93"/>
      <c r="E109" s="93"/>
      <c r="F109" s="146"/>
    </row>
    <row r="110">
      <c r="A110" s="143"/>
      <c r="B110" s="144"/>
      <c r="C110" s="145"/>
      <c r="D110" s="93"/>
      <c r="E110" s="93"/>
      <c r="F110" s="146"/>
    </row>
    <row r="111">
      <c r="A111" s="143"/>
      <c r="B111" s="144"/>
      <c r="C111" s="145"/>
      <c r="D111" s="93"/>
      <c r="E111" s="93"/>
      <c r="F111" s="146"/>
    </row>
    <row r="112">
      <c r="A112" s="143"/>
      <c r="B112" s="144"/>
      <c r="C112" s="145"/>
      <c r="D112" s="93"/>
      <c r="E112" s="93"/>
      <c r="F112" s="146"/>
    </row>
    <row r="113">
      <c r="A113" s="143"/>
      <c r="B113" s="144"/>
      <c r="C113" s="145"/>
      <c r="D113" s="93"/>
      <c r="E113" s="93"/>
      <c r="F113" s="146"/>
    </row>
    <row r="114">
      <c r="A114" s="143"/>
      <c r="B114" s="144"/>
      <c r="C114" s="145"/>
      <c r="D114" s="93"/>
      <c r="E114" s="93"/>
      <c r="F114" s="146"/>
    </row>
    <row r="115">
      <c r="A115" s="143"/>
      <c r="B115" s="144"/>
      <c r="C115" s="145"/>
      <c r="D115" s="93"/>
      <c r="E115" s="93"/>
      <c r="F115" s="146"/>
    </row>
    <row r="116">
      <c r="A116" s="143"/>
      <c r="B116" s="144"/>
      <c r="C116" s="145"/>
      <c r="D116" s="93"/>
      <c r="E116" s="93"/>
      <c r="F116" s="146"/>
    </row>
    <row r="117">
      <c r="A117" s="143"/>
      <c r="B117" s="144"/>
      <c r="C117" s="145"/>
      <c r="D117" s="93"/>
      <c r="E117" s="93"/>
      <c r="F117" s="146"/>
    </row>
    <row r="118">
      <c r="A118" s="143"/>
      <c r="B118" s="144"/>
      <c r="C118" s="145"/>
      <c r="D118" s="93"/>
      <c r="E118" s="93"/>
      <c r="F118" s="146"/>
    </row>
    <row r="119">
      <c r="A119" s="143"/>
      <c r="B119" s="144"/>
      <c r="C119" s="145"/>
      <c r="D119" s="93"/>
      <c r="E119" s="93"/>
      <c r="F119" s="146"/>
    </row>
    <row r="120">
      <c r="A120" s="143"/>
      <c r="B120" s="144"/>
      <c r="C120" s="145"/>
      <c r="D120" s="93"/>
      <c r="E120" s="93"/>
      <c r="F120" s="146"/>
    </row>
    <row r="121">
      <c r="A121" s="143"/>
      <c r="B121" s="144"/>
      <c r="C121" s="145"/>
      <c r="D121" s="93"/>
      <c r="E121" s="93"/>
      <c r="F121" s="146"/>
    </row>
    <row r="122">
      <c r="A122" s="143"/>
      <c r="B122" s="144"/>
      <c r="C122" s="145"/>
      <c r="D122" s="93"/>
      <c r="E122" s="93"/>
      <c r="F122" s="146"/>
    </row>
    <row r="123">
      <c r="A123" s="143"/>
      <c r="B123" s="144"/>
      <c r="C123" s="145"/>
      <c r="D123" s="93"/>
      <c r="E123" s="93"/>
      <c r="F123" s="146"/>
    </row>
    <row r="124">
      <c r="A124" s="143"/>
      <c r="B124" s="144"/>
      <c r="C124" s="145"/>
      <c r="D124" s="93"/>
      <c r="E124" s="93"/>
      <c r="F124" s="146"/>
    </row>
    <row r="125">
      <c r="A125" s="143"/>
      <c r="B125" s="144"/>
      <c r="C125" s="145"/>
      <c r="D125" s="93"/>
      <c r="E125" s="93"/>
      <c r="F125" s="146"/>
    </row>
    <row r="126">
      <c r="A126" s="143"/>
      <c r="B126" s="144"/>
      <c r="C126" s="145"/>
      <c r="D126" s="93"/>
      <c r="E126" s="93"/>
      <c r="F126" s="146"/>
    </row>
    <row r="127">
      <c r="A127" s="143"/>
      <c r="B127" s="144"/>
      <c r="C127" s="145"/>
      <c r="D127" s="93"/>
      <c r="E127" s="93"/>
      <c r="F127" s="146"/>
    </row>
    <row r="128">
      <c r="A128" s="143"/>
      <c r="B128" s="144"/>
      <c r="C128" s="145"/>
      <c r="D128" s="93"/>
      <c r="E128" s="93"/>
      <c r="F128" s="146"/>
    </row>
    <row r="129">
      <c r="A129" s="143"/>
      <c r="B129" s="144"/>
      <c r="C129" s="145"/>
      <c r="D129" s="93"/>
      <c r="E129" s="93"/>
      <c r="F129" s="146"/>
    </row>
    <row r="130">
      <c r="A130" s="143"/>
      <c r="B130" s="144"/>
      <c r="C130" s="145"/>
      <c r="D130" s="93"/>
      <c r="E130" s="93"/>
      <c r="F130" s="146"/>
    </row>
    <row r="131">
      <c r="A131" s="143"/>
      <c r="B131" s="144"/>
      <c r="C131" s="145"/>
      <c r="D131" s="93"/>
      <c r="E131" s="93"/>
      <c r="F131" s="146"/>
    </row>
    <row r="132">
      <c r="A132" s="143"/>
      <c r="B132" s="144"/>
      <c r="C132" s="145"/>
      <c r="D132" s="93"/>
      <c r="E132" s="93"/>
      <c r="F132" s="146"/>
    </row>
    <row r="133">
      <c r="A133" s="143"/>
      <c r="B133" s="144"/>
      <c r="C133" s="145"/>
      <c r="D133" s="93"/>
      <c r="E133" s="93"/>
      <c r="F133" s="146"/>
    </row>
    <row r="134">
      <c r="A134" s="143"/>
      <c r="B134" s="144"/>
      <c r="C134" s="145"/>
      <c r="D134" s="93"/>
      <c r="E134" s="93"/>
      <c r="F134" s="146"/>
    </row>
    <row r="135">
      <c r="A135" s="143"/>
      <c r="B135" s="144"/>
      <c r="C135" s="145"/>
      <c r="D135" s="93"/>
      <c r="E135" s="93"/>
      <c r="F135" s="146"/>
    </row>
    <row r="136">
      <c r="A136" s="143"/>
      <c r="B136" s="144"/>
      <c r="C136" s="145"/>
      <c r="D136" s="93"/>
      <c r="E136" s="93"/>
      <c r="F136" s="146"/>
    </row>
    <row r="137">
      <c r="A137" s="143"/>
      <c r="B137" s="144"/>
      <c r="C137" s="145"/>
      <c r="D137" s="93"/>
      <c r="E137" s="93"/>
      <c r="F137" s="146"/>
    </row>
    <row r="138">
      <c r="A138" s="143"/>
      <c r="B138" s="144"/>
      <c r="C138" s="145"/>
      <c r="D138" s="93"/>
      <c r="E138" s="93"/>
      <c r="F138" s="146"/>
    </row>
    <row r="139">
      <c r="A139" s="143"/>
      <c r="B139" s="144"/>
      <c r="C139" s="145"/>
      <c r="D139" s="93"/>
      <c r="E139" s="93"/>
      <c r="F139" s="146"/>
    </row>
    <row r="140">
      <c r="A140" s="143"/>
      <c r="B140" s="144"/>
      <c r="C140" s="145"/>
      <c r="D140" s="93"/>
      <c r="E140" s="93"/>
      <c r="F140" s="146"/>
    </row>
    <row r="141">
      <c r="A141" s="143"/>
      <c r="B141" s="144"/>
      <c r="C141" s="145"/>
      <c r="D141" s="93"/>
      <c r="E141" s="93"/>
      <c r="F141" s="146"/>
    </row>
    <row r="142">
      <c r="A142" s="143"/>
      <c r="B142" s="144"/>
      <c r="C142" s="145"/>
      <c r="D142" s="93"/>
      <c r="E142" s="93"/>
      <c r="F142" s="146"/>
    </row>
    <row r="143">
      <c r="A143" s="143"/>
      <c r="B143" s="144"/>
      <c r="C143" s="145"/>
      <c r="D143" s="93"/>
      <c r="E143" s="93"/>
      <c r="F143" s="146"/>
    </row>
    <row r="144">
      <c r="A144" s="143"/>
      <c r="B144" s="144"/>
      <c r="C144" s="145"/>
      <c r="D144" s="93"/>
      <c r="E144" s="93"/>
      <c r="F144" s="146"/>
    </row>
    <row r="145">
      <c r="A145" s="143"/>
      <c r="B145" s="144"/>
      <c r="C145" s="145"/>
      <c r="D145" s="93"/>
      <c r="E145" s="93"/>
      <c r="F145" s="146"/>
    </row>
    <row r="146">
      <c r="A146" s="143"/>
      <c r="B146" s="144"/>
      <c r="C146" s="145"/>
      <c r="D146" s="93"/>
      <c r="E146" s="93"/>
      <c r="F146" s="146"/>
    </row>
    <row r="147">
      <c r="A147" s="143"/>
      <c r="B147" s="144"/>
      <c r="C147" s="145"/>
      <c r="D147" s="93"/>
      <c r="E147" s="93"/>
      <c r="F147" s="146"/>
    </row>
    <row r="148">
      <c r="A148" s="143"/>
      <c r="B148" s="144"/>
      <c r="C148" s="145"/>
      <c r="D148" s="93"/>
      <c r="E148" s="93"/>
      <c r="F148" s="146"/>
    </row>
    <row r="149">
      <c r="A149" s="143"/>
      <c r="B149" s="144"/>
      <c r="C149" s="145"/>
      <c r="D149" s="93"/>
      <c r="E149" s="93"/>
      <c r="F149" s="146"/>
    </row>
    <row r="150">
      <c r="A150" s="143"/>
      <c r="B150" s="144"/>
      <c r="C150" s="145"/>
      <c r="D150" s="93"/>
      <c r="E150" s="93"/>
      <c r="F150" s="146"/>
    </row>
    <row r="151">
      <c r="A151" s="143"/>
      <c r="B151" s="144"/>
      <c r="C151" s="145"/>
      <c r="D151" s="93"/>
      <c r="E151" s="93"/>
      <c r="F151" s="146"/>
    </row>
    <row r="152">
      <c r="A152" s="143"/>
      <c r="B152" s="144"/>
      <c r="C152" s="145"/>
      <c r="D152" s="93"/>
      <c r="E152" s="93"/>
      <c r="F152" s="146"/>
    </row>
    <row r="153">
      <c r="A153" s="143"/>
      <c r="B153" s="144"/>
      <c r="C153" s="145"/>
      <c r="D153" s="93"/>
      <c r="E153" s="93"/>
      <c r="F153" s="146"/>
    </row>
    <row r="154">
      <c r="A154" s="143"/>
      <c r="B154" s="144"/>
      <c r="C154" s="145"/>
      <c r="D154" s="93"/>
      <c r="E154" s="93"/>
      <c r="F154" s="146"/>
    </row>
    <row r="155">
      <c r="A155" s="143"/>
      <c r="B155" s="144"/>
      <c r="C155" s="145"/>
      <c r="D155" s="93"/>
      <c r="E155" s="93"/>
      <c r="F155" s="146"/>
    </row>
    <row r="156">
      <c r="A156" s="143"/>
      <c r="B156" s="144"/>
      <c r="C156" s="145"/>
      <c r="D156" s="93"/>
      <c r="E156" s="93"/>
      <c r="F156" s="146"/>
    </row>
    <row r="157">
      <c r="A157" s="143"/>
      <c r="B157" s="144"/>
      <c r="C157" s="145"/>
      <c r="D157" s="93"/>
      <c r="E157" s="93"/>
      <c r="F157" s="146"/>
    </row>
    <row r="158">
      <c r="A158" s="143"/>
      <c r="B158" s="144"/>
      <c r="C158" s="145"/>
      <c r="D158" s="93"/>
      <c r="E158" s="93"/>
      <c r="F158" s="146"/>
    </row>
    <row r="159">
      <c r="A159" s="143"/>
      <c r="B159" s="144"/>
      <c r="C159" s="145"/>
      <c r="D159" s="93"/>
      <c r="E159" s="93"/>
      <c r="F159" s="146"/>
    </row>
    <row r="160">
      <c r="A160" s="143"/>
      <c r="B160" s="144"/>
      <c r="C160" s="145"/>
      <c r="D160" s="93"/>
      <c r="E160" s="93"/>
      <c r="F160" s="146"/>
    </row>
    <row r="161">
      <c r="A161" s="143"/>
      <c r="B161" s="144"/>
      <c r="C161" s="145"/>
      <c r="D161" s="93"/>
      <c r="E161" s="93"/>
      <c r="F161" s="146"/>
    </row>
    <row r="162">
      <c r="A162" s="143"/>
      <c r="B162" s="144"/>
      <c r="C162" s="145"/>
      <c r="D162" s="93"/>
      <c r="E162" s="93"/>
      <c r="F162" s="146"/>
    </row>
    <row r="163">
      <c r="A163" s="143"/>
      <c r="B163" s="144"/>
      <c r="C163" s="145"/>
      <c r="D163" s="93"/>
      <c r="E163" s="93"/>
      <c r="F163" s="146"/>
    </row>
    <row r="164">
      <c r="A164" s="143"/>
      <c r="B164" s="144"/>
      <c r="C164" s="145"/>
      <c r="D164" s="93"/>
      <c r="E164" s="93"/>
      <c r="F164" s="146"/>
    </row>
    <row r="165">
      <c r="A165" s="143"/>
      <c r="B165" s="144"/>
      <c r="C165" s="145"/>
      <c r="D165" s="93"/>
      <c r="E165" s="93"/>
      <c r="F165" s="146"/>
    </row>
    <row r="166">
      <c r="A166" s="143"/>
      <c r="B166" s="144"/>
      <c r="C166" s="145"/>
      <c r="D166" s="93"/>
      <c r="E166" s="93"/>
      <c r="F166" s="146"/>
    </row>
    <row r="167">
      <c r="A167" s="143"/>
      <c r="B167" s="144"/>
      <c r="C167" s="145"/>
      <c r="D167" s="93"/>
      <c r="E167" s="93"/>
      <c r="F167" s="146"/>
    </row>
    <row r="168">
      <c r="A168" s="143"/>
      <c r="B168" s="144"/>
      <c r="C168" s="145"/>
      <c r="D168" s="93"/>
      <c r="E168" s="93"/>
      <c r="F168" s="146"/>
    </row>
    <row r="169">
      <c r="A169" s="143"/>
      <c r="B169" s="144"/>
      <c r="C169" s="145"/>
      <c r="D169" s="93"/>
      <c r="E169" s="93"/>
      <c r="F169" s="146"/>
    </row>
    <row r="170">
      <c r="A170" s="143"/>
      <c r="B170" s="144"/>
      <c r="C170" s="145"/>
      <c r="D170" s="93"/>
      <c r="E170" s="93"/>
      <c r="F170" s="146"/>
    </row>
    <row r="171">
      <c r="A171" s="143"/>
      <c r="B171" s="144"/>
      <c r="C171" s="145"/>
      <c r="D171" s="93"/>
      <c r="E171" s="93"/>
      <c r="F171" s="146"/>
    </row>
    <row r="172">
      <c r="A172" s="143"/>
      <c r="B172" s="144"/>
      <c r="C172" s="145"/>
      <c r="D172" s="93"/>
      <c r="E172" s="93"/>
      <c r="F172" s="146"/>
    </row>
    <row r="173">
      <c r="A173" s="143"/>
      <c r="B173" s="144"/>
      <c r="C173" s="145"/>
      <c r="D173" s="93"/>
      <c r="E173" s="93"/>
      <c r="F173" s="146"/>
    </row>
    <row r="174">
      <c r="A174" s="143"/>
      <c r="B174" s="144"/>
      <c r="C174" s="145"/>
      <c r="D174" s="93"/>
      <c r="E174" s="93"/>
      <c r="F174" s="146"/>
    </row>
    <row r="175">
      <c r="A175" s="143"/>
      <c r="B175" s="144"/>
      <c r="C175" s="145"/>
      <c r="D175" s="93"/>
      <c r="E175" s="93"/>
      <c r="F175" s="146"/>
    </row>
    <row r="176">
      <c r="A176" s="143"/>
      <c r="B176" s="144"/>
      <c r="C176" s="145"/>
      <c r="D176" s="93"/>
      <c r="E176" s="93"/>
      <c r="F176" s="146"/>
    </row>
    <row r="177">
      <c r="A177" s="143"/>
      <c r="B177" s="144"/>
      <c r="C177" s="145"/>
      <c r="D177" s="93"/>
      <c r="E177" s="93"/>
      <c r="F177" s="146"/>
    </row>
    <row r="178">
      <c r="A178" s="143"/>
      <c r="B178" s="144"/>
      <c r="C178" s="145"/>
      <c r="D178" s="93"/>
      <c r="E178" s="93"/>
      <c r="F178" s="146"/>
    </row>
    <row r="179">
      <c r="A179" s="143"/>
      <c r="B179" s="144"/>
      <c r="C179" s="145"/>
      <c r="D179" s="93"/>
      <c r="E179" s="93"/>
      <c r="F179" s="146"/>
    </row>
    <row r="180">
      <c r="A180" s="143"/>
      <c r="B180" s="144"/>
      <c r="C180" s="145"/>
      <c r="D180" s="93"/>
      <c r="E180" s="93"/>
      <c r="F180" s="146"/>
    </row>
    <row r="181">
      <c r="A181" s="143"/>
      <c r="B181" s="144"/>
      <c r="C181" s="145"/>
      <c r="D181" s="93"/>
      <c r="E181" s="93"/>
      <c r="F181" s="146"/>
    </row>
    <row r="182">
      <c r="A182" s="143"/>
      <c r="B182" s="144"/>
      <c r="C182" s="145"/>
      <c r="D182" s="93"/>
      <c r="E182" s="93"/>
      <c r="F182" s="146"/>
    </row>
    <row r="183">
      <c r="A183" s="143"/>
      <c r="B183" s="144"/>
      <c r="C183" s="145"/>
      <c r="D183" s="93"/>
      <c r="E183" s="93"/>
      <c r="F183" s="146"/>
    </row>
    <row r="184">
      <c r="A184" s="143"/>
      <c r="B184" s="144"/>
      <c r="C184" s="145"/>
      <c r="D184" s="93"/>
      <c r="E184" s="93"/>
      <c r="F184" s="146"/>
    </row>
    <row r="185">
      <c r="A185" s="143"/>
      <c r="B185" s="144"/>
      <c r="C185" s="145"/>
      <c r="D185" s="93"/>
      <c r="E185" s="93"/>
      <c r="F185" s="146"/>
    </row>
    <row r="186">
      <c r="A186" s="143"/>
      <c r="B186" s="144"/>
      <c r="C186" s="145"/>
      <c r="D186" s="93"/>
      <c r="E186" s="93"/>
      <c r="F186" s="146"/>
    </row>
    <row r="187">
      <c r="A187" s="143"/>
      <c r="B187" s="144"/>
      <c r="C187" s="145"/>
      <c r="D187" s="93"/>
      <c r="E187" s="93"/>
      <c r="F187" s="146"/>
    </row>
    <row r="188">
      <c r="A188" s="143"/>
      <c r="B188" s="144"/>
      <c r="C188" s="145"/>
      <c r="D188" s="93"/>
      <c r="E188" s="93"/>
      <c r="F188" s="146"/>
    </row>
    <row r="189">
      <c r="A189" s="143"/>
      <c r="B189" s="144"/>
      <c r="C189" s="145"/>
      <c r="D189" s="93"/>
      <c r="E189" s="93"/>
      <c r="F189" s="146"/>
    </row>
    <row r="190">
      <c r="A190" s="143"/>
      <c r="B190" s="144"/>
      <c r="C190" s="145"/>
      <c r="D190" s="93"/>
      <c r="E190" s="93"/>
      <c r="F190" s="146"/>
    </row>
    <row r="191">
      <c r="A191" s="143"/>
      <c r="B191" s="144"/>
      <c r="C191" s="145"/>
      <c r="D191" s="93"/>
      <c r="E191" s="93"/>
      <c r="F191" s="146"/>
    </row>
    <row r="192">
      <c r="A192" s="143"/>
      <c r="B192" s="144"/>
      <c r="C192" s="145"/>
      <c r="D192" s="93"/>
      <c r="E192" s="93"/>
      <c r="F192" s="146"/>
    </row>
    <row r="193">
      <c r="A193" s="143"/>
      <c r="B193" s="144"/>
      <c r="C193" s="145"/>
      <c r="D193" s="93"/>
      <c r="E193" s="93"/>
      <c r="F193" s="146"/>
    </row>
    <row r="194">
      <c r="A194" s="143"/>
      <c r="B194" s="144"/>
      <c r="C194" s="145"/>
      <c r="D194" s="93"/>
      <c r="E194" s="93"/>
      <c r="F194" s="146"/>
    </row>
    <row r="195">
      <c r="A195" s="143"/>
      <c r="B195" s="144"/>
      <c r="C195" s="145"/>
      <c r="D195" s="93"/>
      <c r="E195" s="93"/>
      <c r="F195" s="146"/>
    </row>
    <row r="196">
      <c r="A196" s="143"/>
      <c r="B196" s="144"/>
      <c r="C196" s="145"/>
      <c r="D196" s="93"/>
      <c r="E196" s="93"/>
      <c r="F196" s="146"/>
    </row>
    <row r="197">
      <c r="A197" s="143"/>
      <c r="B197" s="144"/>
      <c r="C197" s="145"/>
      <c r="D197" s="93"/>
      <c r="E197" s="93"/>
      <c r="F197" s="146"/>
    </row>
    <row r="198">
      <c r="A198" s="143"/>
      <c r="B198" s="144"/>
      <c r="C198" s="145"/>
      <c r="D198" s="93"/>
      <c r="E198" s="93"/>
      <c r="F198" s="146"/>
    </row>
    <row r="199">
      <c r="A199" s="143"/>
      <c r="B199" s="144"/>
      <c r="C199" s="145"/>
      <c r="D199" s="93"/>
      <c r="E199" s="93"/>
      <c r="F199" s="146"/>
    </row>
    <row r="200">
      <c r="A200" s="143"/>
      <c r="B200" s="144"/>
      <c r="C200" s="145"/>
      <c r="D200" s="93"/>
      <c r="E200" s="93"/>
      <c r="F200" s="146"/>
    </row>
    <row r="201">
      <c r="A201" s="143"/>
      <c r="B201" s="144"/>
      <c r="C201" s="145"/>
      <c r="D201" s="93"/>
      <c r="E201" s="93"/>
      <c r="F201" s="146"/>
    </row>
    <row r="202">
      <c r="A202" s="143"/>
      <c r="B202" s="144"/>
      <c r="C202" s="145"/>
      <c r="D202" s="93"/>
      <c r="E202" s="93"/>
      <c r="F202" s="146"/>
    </row>
    <row r="203">
      <c r="A203" s="143"/>
      <c r="B203" s="144"/>
      <c r="C203" s="145"/>
      <c r="D203" s="93"/>
      <c r="E203" s="93"/>
      <c r="F203" s="146"/>
    </row>
    <row r="204">
      <c r="A204" s="143"/>
      <c r="B204" s="144"/>
      <c r="C204" s="145"/>
      <c r="D204" s="93"/>
      <c r="E204" s="93"/>
      <c r="F204" s="146"/>
    </row>
    <row r="205">
      <c r="A205" s="143"/>
      <c r="B205" s="144"/>
      <c r="C205" s="145"/>
      <c r="D205" s="93"/>
      <c r="E205" s="93"/>
      <c r="F205" s="146"/>
    </row>
    <row r="206">
      <c r="A206" s="143"/>
      <c r="B206" s="144"/>
      <c r="C206" s="145"/>
      <c r="D206" s="93"/>
      <c r="E206" s="93"/>
      <c r="F206" s="146"/>
    </row>
    <row r="207">
      <c r="A207" s="143"/>
      <c r="B207" s="144"/>
      <c r="C207" s="145"/>
      <c r="D207" s="93"/>
      <c r="E207" s="93"/>
      <c r="F207" s="146"/>
    </row>
    <row r="208">
      <c r="A208" s="143"/>
      <c r="B208" s="144"/>
      <c r="C208" s="145"/>
      <c r="D208" s="93"/>
      <c r="E208" s="93"/>
      <c r="F208" s="146"/>
    </row>
    <row r="209">
      <c r="A209" s="143"/>
      <c r="B209" s="144"/>
      <c r="C209" s="145"/>
      <c r="D209" s="93"/>
      <c r="E209" s="93"/>
      <c r="F209" s="146"/>
    </row>
    <row r="210">
      <c r="A210" s="143"/>
      <c r="B210" s="144"/>
      <c r="C210" s="145"/>
      <c r="D210" s="93"/>
      <c r="E210" s="93"/>
      <c r="F210" s="146"/>
    </row>
    <row r="211">
      <c r="A211" s="143"/>
      <c r="B211" s="144"/>
      <c r="C211" s="145"/>
      <c r="D211" s="93"/>
      <c r="E211" s="93"/>
      <c r="F211" s="146"/>
    </row>
    <row r="212">
      <c r="A212" s="143"/>
      <c r="B212" s="144"/>
      <c r="C212" s="145"/>
      <c r="D212" s="93"/>
      <c r="E212" s="93"/>
      <c r="F212" s="146"/>
    </row>
    <row r="213">
      <c r="A213" s="143"/>
      <c r="B213" s="144"/>
      <c r="C213" s="145"/>
      <c r="D213" s="93"/>
      <c r="E213" s="93"/>
      <c r="F213" s="146"/>
    </row>
    <row r="214">
      <c r="A214" s="143"/>
      <c r="B214" s="144"/>
      <c r="C214" s="145"/>
      <c r="D214" s="93"/>
      <c r="E214" s="93"/>
      <c r="F214" s="146"/>
    </row>
    <row r="215">
      <c r="A215" s="143"/>
      <c r="B215" s="144"/>
      <c r="C215" s="145"/>
      <c r="D215" s="93"/>
      <c r="E215" s="93"/>
      <c r="F215" s="146"/>
    </row>
    <row r="216">
      <c r="A216" s="143"/>
      <c r="B216" s="144"/>
      <c r="C216" s="145"/>
      <c r="D216" s="93"/>
      <c r="E216" s="93"/>
      <c r="F216" s="146"/>
    </row>
    <row r="217">
      <c r="A217" s="143"/>
      <c r="B217" s="144"/>
      <c r="C217" s="145"/>
      <c r="D217" s="93"/>
      <c r="E217" s="93"/>
      <c r="F217" s="146"/>
    </row>
    <row r="218">
      <c r="A218" s="143"/>
      <c r="B218" s="144"/>
      <c r="C218" s="145"/>
      <c r="D218" s="93"/>
      <c r="E218" s="93"/>
      <c r="F218" s="146"/>
    </row>
    <row r="219">
      <c r="A219" s="143"/>
      <c r="B219" s="144"/>
      <c r="C219" s="145"/>
      <c r="D219" s="93"/>
      <c r="E219" s="93"/>
      <c r="F219" s="146"/>
    </row>
    <row r="220">
      <c r="A220" s="143"/>
      <c r="B220" s="144"/>
      <c r="C220" s="145"/>
      <c r="D220" s="93"/>
      <c r="E220" s="93"/>
      <c r="F220" s="146"/>
    </row>
    <row r="221">
      <c r="A221" s="143"/>
      <c r="B221" s="144"/>
      <c r="C221" s="145"/>
      <c r="D221" s="93"/>
      <c r="E221" s="93"/>
      <c r="F221" s="146"/>
    </row>
    <row r="222">
      <c r="A222" s="143"/>
      <c r="B222" s="144"/>
      <c r="C222" s="145"/>
      <c r="D222" s="93"/>
      <c r="E222" s="93"/>
      <c r="F222" s="146"/>
    </row>
    <row r="223">
      <c r="A223" s="143"/>
      <c r="B223" s="144"/>
      <c r="C223" s="145"/>
      <c r="D223" s="93"/>
      <c r="E223" s="93"/>
      <c r="F223" s="146"/>
    </row>
    <row r="224">
      <c r="A224" s="143"/>
      <c r="B224" s="144"/>
      <c r="C224" s="145"/>
      <c r="D224" s="93"/>
      <c r="E224" s="93"/>
      <c r="F224" s="146"/>
    </row>
    <row r="225">
      <c r="A225" s="143"/>
      <c r="B225" s="144"/>
      <c r="C225" s="145"/>
      <c r="D225" s="93"/>
      <c r="E225" s="93"/>
      <c r="F225" s="146"/>
    </row>
    <row r="226">
      <c r="A226" s="143"/>
      <c r="B226" s="144"/>
      <c r="C226" s="145"/>
      <c r="D226" s="93"/>
      <c r="E226" s="93"/>
      <c r="F226" s="146"/>
    </row>
    <row r="227">
      <c r="A227" s="143"/>
      <c r="B227" s="144"/>
      <c r="C227" s="145"/>
      <c r="D227" s="93"/>
      <c r="E227" s="93"/>
      <c r="F227" s="146"/>
    </row>
    <row r="228">
      <c r="A228" s="143"/>
      <c r="B228" s="144"/>
      <c r="C228" s="145"/>
      <c r="D228" s="93"/>
      <c r="E228" s="93"/>
      <c r="F228" s="146"/>
    </row>
    <row r="229">
      <c r="A229" s="143"/>
      <c r="B229" s="144"/>
      <c r="C229" s="145"/>
      <c r="D229" s="93"/>
      <c r="E229" s="93"/>
      <c r="F229" s="146"/>
    </row>
    <row r="230">
      <c r="A230" s="143"/>
      <c r="B230" s="144"/>
      <c r="C230" s="145"/>
      <c r="D230" s="93"/>
      <c r="E230" s="93"/>
      <c r="F230" s="146"/>
    </row>
    <row r="231">
      <c r="A231" s="143"/>
      <c r="B231" s="144"/>
      <c r="C231" s="145"/>
      <c r="D231" s="93"/>
      <c r="E231" s="93"/>
      <c r="F231" s="146"/>
    </row>
    <row r="232">
      <c r="A232" s="143"/>
      <c r="B232" s="144"/>
      <c r="C232" s="145"/>
      <c r="D232" s="93"/>
      <c r="E232" s="93"/>
      <c r="F232" s="146"/>
    </row>
    <row r="233">
      <c r="A233" s="143"/>
      <c r="B233" s="144"/>
      <c r="C233" s="145"/>
      <c r="D233" s="93"/>
      <c r="E233" s="93"/>
      <c r="F233" s="146"/>
    </row>
    <row r="234">
      <c r="A234" s="143"/>
      <c r="B234" s="144"/>
      <c r="C234" s="145"/>
      <c r="D234" s="93"/>
      <c r="E234" s="93"/>
      <c r="F234" s="146"/>
    </row>
    <row r="235">
      <c r="A235" s="143"/>
      <c r="B235" s="144"/>
      <c r="C235" s="145"/>
      <c r="D235" s="93"/>
      <c r="E235" s="93"/>
      <c r="F235" s="146"/>
    </row>
    <row r="236">
      <c r="A236" s="143"/>
      <c r="B236" s="144"/>
      <c r="C236" s="145"/>
      <c r="D236" s="93"/>
      <c r="E236" s="93"/>
      <c r="F236" s="146"/>
    </row>
    <row r="237">
      <c r="A237" s="143"/>
      <c r="B237" s="144"/>
      <c r="C237" s="145"/>
      <c r="D237" s="93"/>
      <c r="E237" s="93"/>
      <c r="F237" s="146"/>
    </row>
    <row r="238">
      <c r="A238" s="143"/>
      <c r="B238" s="144"/>
      <c r="C238" s="145"/>
      <c r="D238" s="93"/>
      <c r="E238" s="93"/>
      <c r="F238" s="146"/>
    </row>
    <row r="239">
      <c r="A239" s="143"/>
      <c r="B239" s="144"/>
      <c r="C239" s="145"/>
      <c r="D239" s="93"/>
      <c r="E239" s="93"/>
      <c r="F239" s="146"/>
    </row>
    <row r="240">
      <c r="A240" s="143"/>
      <c r="B240" s="144"/>
      <c r="C240" s="145"/>
      <c r="D240" s="93"/>
      <c r="E240" s="93"/>
      <c r="F240" s="146"/>
    </row>
    <row r="241">
      <c r="A241" s="143"/>
      <c r="B241" s="144"/>
      <c r="C241" s="145"/>
      <c r="D241" s="93"/>
      <c r="E241" s="93"/>
      <c r="F241" s="146"/>
    </row>
    <row r="242">
      <c r="A242" s="143"/>
      <c r="B242" s="144"/>
      <c r="C242" s="145"/>
      <c r="D242" s="93"/>
      <c r="E242" s="93"/>
      <c r="F242" s="146"/>
    </row>
    <row r="243">
      <c r="A243" s="143"/>
      <c r="B243" s="144"/>
      <c r="C243" s="145"/>
      <c r="D243" s="93"/>
      <c r="E243" s="93"/>
      <c r="F243" s="146"/>
    </row>
    <row r="244">
      <c r="A244" s="143"/>
      <c r="B244" s="144"/>
      <c r="C244" s="145"/>
      <c r="D244" s="93"/>
      <c r="E244" s="93"/>
      <c r="F244" s="146"/>
    </row>
    <row r="245">
      <c r="A245" s="143"/>
      <c r="B245" s="144"/>
      <c r="C245" s="145"/>
      <c r="D245" s="93"/>
      <c r="E245" s="93"/>
      <c r="F245" s="146"/>
    </row>
    <row r="246">
      <c r="A246" s="143"/>
      <c r="B246" s="144"/>
      <c r="C246" s="145"/>
      <c r="D246" s="93"/>
      <c r="E246" s="93"/>
      <c r="F246" s="146"/>
    </row>
    <row r="247">
      <c r="A247" s="143"/>
      <c r="B247" s="144"/>
      <c r="C247" s="145"/>
      <c r="D247" s="93"/>
      <c r="E247" s="93"/>
      <c r="F247" s="146"/>
    </row>
    <row r="248">
      <c r="A248" s="143"/>
      <c r="B248" s="144"/>
      <c r="C248" s="145"/>
      <c r="D248" s="93"/>
      <c r="E248" s="93"/>
      <c r="F248" s="146"/>
    </row>
    <row r="249">
      <c r="A249" s="143"/>
      <c r="B249" s="144"/>
      <c r="C249" s="145"/>
      <c r="D249" s="93"/>
      <c r="E249" s="93"/>
      <c r="F249" s="146"/>
    </row>
    <row r="250">
      <c r="A250" s="143"/>
      <c r="B250" s="144"/>
      <c r="C250" s="145"/>
      <c r="D250" s="93"/>
      <c r="E250" s="93"/>
      <c r="F250" s="146"/>
    </row>
    <row r="251">
      <c r="A251" s="143"/>
      <c r="B251" s="144"/>
      <c r="C251" s="145"/>
      <c r="D251" s="93"/>
      <c r="E251" s="93"/>
      <c r="F251" s="146"/>
    </row>
    <row r="252">
      <c r="A252" s="143"/>
      <c r="B252" s="144"/>
      <c r="C252" s="145"/>
      <c r="D252" s="93"/>
      <c r="E252" s="93"/>
      <c r="F252" s="146"/>
    </row>
    <row r="253">
      <c r="A253" s="143"/>
      <c r="B253" s="144"/>
      <c r="C253" s="145"/>
      <c r="D253" s="93"/>
      <c r="E253" s="93"/>
      <c r="F253" s="146"/>
    </row>
    <row r="254">
      <c r="A254" s="143"/>
      <c r="B254" s="144"/>
      <c r="C254" s="145"/>
      <c r="D254" s="93"/>
      <c r="E254" s="93"/>
      <c r="F254" s="146"/>
    </row>
    <row r="255">
      <c r="A255" s="143"/>
      <c r="B255" s="144"/>
      <c r="C255" s="145"/>
      <c r="D255" s="93"/>
      <c r="E255" s="93"/>
      <c r="F255" s="146"/>
    </row>
    <row r="256">
      <c r="A256" s="143"/>
      <c r="B256" s="144"/>
      <c r="C256" s="145"/>
      <c r="D256" s="93"/>
      <c r="E256" s="93"/>
      <c r="F256" s="146"/>
    </row>
    <row r="257">
      <c r="A257" s="143"/>
      <c r="B257" s="144"/>
      <c r="C257" s="145"/>
      <c r="D257" s="93"/>
      <c r="E257" s="93"/>
      <c r="F257" s="146"/>
    </row>
    <row r="258">
      <c r="A258" s="143"/>
      <c r="B258" s="144"/>
      <c r="C258" s="145"/>
      <c r="D258" s="93"/>
      <c r="E258" s="93"/>
      <c r="F258" s="146"/>
    </row>
    <row r="259">
      <c r="A259" s="143"/>
      <c r="B259" s="144"/>
      <c r="C259" s="145"/>
      <c r="D259" s="93"/>
      <c r="E259" s="93"/>
      <c r="F259" s="146"/>
    </row>
    <row r="260">
      <c r="A260" s="143"/>
      <c r="B260" s="144"/>
      <c r="C260" s="145"/>
      <c r="D260" s="93"/>
      <c r="E260" s="93"/>
      <c r="F260" s="146"/>
    </row>
    <row r="261">
      <c r="A261" s="143"/>
      <c r="B261" s="144"/>
      <c r="C261" s="145"/>
      <c r="D261" s="93"/>
      <c r="E261" s="93"/>
      <c r="F261" s="146"/>
    </row>
    <row r="262">
      <c r="A262" s="143"/>
      <c r="B262" s="144"/>
      <c r="C262" s="145"/>
      <c r="D262" s="93"/>
      <c r="E262" s="93"/>
      <c r="F262" s="146"/>
    </row>
    <row r="263">
      <c r="A263" s="143"/>
      <c r="B263" s="144"/>
      <c r="C263" s="145"/>
      <c r="D263" s="93"/>
      <c r="E263" s="93"/>
      <c r="F263" s="146"/>
    </row>
    <row r="264">
      <c r="A264" s="143"/>
      <c r="B264" s="144"/>
      <c r="C264" s="145"/>
      <c r="D264" s="93"/>
      <c r="E264" s="93"/>
      <c r="F264" s="146"/>
    </row>
    <row r="265">
      <c r="A265" s="143"/>
      <c r="B265" s="144"/>
      <c r="C265" s="145"/>
      <c r="D265" s="93"/>
      <c r="E265" s="93"/>
      <c r="F265" s="146"/>
    </row>
    <row r="266">
      <c r="A266" s="143"/>
      <c r="B266" s="144"/>
      <c r="C266" s="145"/>
      <c r="D266" s="93"/>
      <c r="E266" s="93"/>
      <c r="F266" s="146"/>
    </row>
    <row r="267">
      <c r="A267" s="143"/>
      <c r="B267" s="144"/>
      <c r="C267" s="145"/>
      <c r="D267" s="93"/>
      <c r="E267" s="93"/>
      <c r="F267" s="146"/>
    </row>
    <row r="268">
      <c r="A268" s="143"/>
      <c r="B268" s="144"/>
      <c r="C268" s="145"/>
      <c r="D268" s="93"/>
      <c r="E268" s="93"/>
      <c r="F268" s="146"/>
    </row>
    <row r="269">
      <c r="A269" s="143"/>
      <c r="B269" s="144"/>
      <c r="C269" s="145"/>
      <c r="D269" s="93"/>
      <c r="E269" s="93"/>
      <c r="F269" s="146"/>
    </row>
    <row r="270">
      <c r="A270" s="143"/>
      <c r="B270" s="144"/>
      <c r="C270" s="145"/>
      <c r="D270" s="93"/>
      <c r="E270" s="93"/>
      <c r="F270" s="146"/>
    </row>
    <row r="271">
      <c r="A271" s="143"/>
      <c r="B271" s="144"/>
      <c r="C271" s="145"/>
      <c r="D271" s="93"/>
      <c r="E271" s="93"/>
      <c r="F271" s="146"/>
    </row>
    <row r="272">
      <c r="A272" s="143"/>
      <c r="B272" s="144"/>
      <c r="C272" s="145"/>
      <c r="D272" s="93"/>
      <c r="E272" s="93"/>
      <c r="F272" s="146"/>
    </row>
    <row r="273">
      <c r="A273" s="143"/>
      <c r="B273" s="144"/>
      <c r="C273" s="145"/>
      <c r="D273" s="93"/>
      <c r="E273" s="93"/>
      <c r="F273" s="146"/>
    </row>
    <row r="274">
      <c r="A274" s="143"/>
      <c r="B274" s="144"/>
      <c r="C274" s="145"/>
      <c r="D274" s="93"/>
      <c r="E274" s="93"/>
      <c r="F274" s="146"/>
    </row>
    <row r="275">
      <c r="A275" s="143"/>
      <c r="B275" s="144"/>
      <c r="C275" s="145"/>
      <c r="D275" s="93"/>
      <c r="E275" s="93"/>
      <c r="F275" s="146"/>
    </row>
    <row r="276">
      <c r="A276" s="143"/>
      <c r="B276" s="144"/>
      <c r="C276" s="145"/>
      <c r="D276" s="93"/>
      <c r="E276" s="93"/>
      <c r="F276" s="146"/>
    </row>
    <row r="277">
      <c r="A277" s="143"/>
      <c r="B277" s="144"/>
      <c r="C277" s="145"/>
      <c r="D277" s="93"/>
      <c r="E277" s="93"/>
      <c r="F277" s="146"/>
    </row>
    <row r="278">
      <c r="A278" s="143"/>
      <c r="B278" s="144"/>
      <c r="C278" s="145"/>
      <c r="D278" s="93"/>
      <c r="E278" s="93"/>
      <c r="F278" s="146"/>
    </row>
    <row r="279">
      <c r="A279" s="143"/>
      <c r="B279" s="144"/>
      <c r="C279" s="145"/>
      <c r="D279" s="93"/>
      <c r="E279" s="93"/>
      <c r="F279" s="146"/>
    </row>
    <row r="280">
      <c r="A280" s="143"/>
      <c r="B280" s="144"/>
      <c r="C280" s="145"/>
      <c r="D280" s="93"/>
      <c r="E280" s="93"/>
      <c r="F280" s="146"/>
    </row>
    <row r="281">
      <c r="A281" s="143"/>
      <c r="B281" s="144"/>
      <c r="C281" s="145"/>
      <c r="D281" s="93"/>
      <c r="E281" s="93"/>
      <c r="F281" s="146"/>
    </row>
    <row r="282">
      <c r="A282" s="143"/>
      <c r="B282" s="144"/>
      <c r="C282" s="145"/>
      <c r="D282" s="93"/>
      <c r="E282" s="93"/>
      <c r="F282" s="146"/>
    </row>
    <row r="283">
      <c r="A283" s="143"/>
      <c r="B283" s="144"/>
      <c r="C283" s="145"/>
      <c r="D283" s="93"/>
      <c r="E283" s="93"/>
      <c r="F283" s="146"/>
    </row>
    <row r="284">
      <c r="A284" s="143"/>
      <c r="B284" s="144"/>
      <c r="C284" s="145"/>
      <c r="D284" s="93"/>
      <c r="E284" s="93"/>
      <c r="F284" s="146"/>
    </row>
    <row r="285">
      <c r="A285" s="143"/>
      <c r="B285" s="144"/>
      <c r="C285" s="145"/>
      <c r="D285" s="93"/>
      <c r="E285" s="93"/>
      <c r="F285" s="146"/>
    </row>
    <row r="286">
      <c r="A286" s="143"/>
      <c r="B286" s="144"/>
      <c r="C286" s="145"/>
      <c r="D286" s="93"/>
      <c r="E286" s="93"/>
      <c r="F286" s="146"/>
    </row>
    <row r="287">
      <c r="A287" s="143"/>
      <c r="B287" s="144"/>
      <c r="C287" s="145"/>
      <c r="D287" s="93"/>
      <c r="E287" s="93"/>
      <c r="F287" s="146"/>
    </row>
    <row r="288">
      <c r="A288" s="143"/>
      <c r="B288" s="144"/>
      <c r="C288" s="145"/>
      <c r="D288" s="93"/>
      <c r="E288" s="93"/>
      <c r="F288" s="146"/>
    </row>
    <row r="289">
      <c r="A289" s="143"/>
      <c r="B289" s="144"/>
      <c r="C289" s="145"/>
      <c r="D289" s="93"/>
      <c r="E289" s="93"/>
      <c r="F289" s="146"/>
    </row>
    <row r="290">
      <c r="A290" s="143"/>
      <c r="B290" s="144"/>
      <c r="C290" s="145"/>
      <c r="D290" s="93"/>
      <c r="E290" s="93"/>
      <c r="F290" s="146"/>
    </row>
    <row r="291">
      <c r="A291" s="143"/>
      <c r="B291" s="144"/>
      <c r="C291" s="145"/>
      <c r="D291" s="93"/>
      <c r="E291" s="93"/>
      <c r="F291" s="146"/>
    </row>
    <row r="292">
      <c r="A292" s="143"/>
      <c r="B292" s="144"/>
      <c r="C292" s="145"/>
      <c r="D292" s="93"/>
      <c r="E292" s="93"/>
      <c r="F292" s="146"/>
    </row>
    <row r="293">
      <c r="A293" s="143"/>
      <c r="B293" s="144"/>
      <c r="C293" s="145"/>
      <c r="D293" s="93"/>
      <c r="E293" s="93"/>
      <c r="F293" s="146"/>
    </row>
    <row r="294">
      <c r="A294" s="143"/>
      <c r="B294" s="144"/>
      <c r="C294" s="145"/>
      <c r="D294" s="93"/>
      <c r="E294" s="93"/>
      <c r="F294" s="146"/>
    </row>
    <row r="295">
      <c r="A295" s="143"/>
      <c r="B295" s="144"/>
      <c r="C295" s="145"/>
      <c r="D295" s="93"/>
      <c r="E295" s="93"/>
      <c r="F295" s="146"/>
    </row>
    <row r="296">
      <c r="A296" s="143"/>
      <c r="B296" s="144"/>
      <c r="C296" s="145"/>
      <c r="D296" s="93"/>
      <c r="E296" s="93"/>
      <c r="F296" s="146"/>
    </row>
    <row r="297">
      <c r="A297" s="143"/>
      <c r="B297" s="144"/>
      <c r="C297" s="145"/>
      <c r="D297" s="93"/>
      <c r="E297" s="93"/>
      <c r="F297" s="146"/>
    </row>
    <row r="298">
      <c r="A298" s="143"/>
      <c r="B298" s="144"/>
      <c r="C298" s="145"/>
      <c r="D298" s="93"/>
      <c r="E298" s="93"/>
      <c r="F298" s="146"/>
    </row>
    <row r="299">
      <c r="A299" s="143"/>
      <c r="B299" s="144"/>
      <c r="C299" s="145"/>
      <c r="D299" s="93"/>
      <c r="E299" s="93"/>
      <c r="F299" s="146"/>
    </row>
    <row r="300">
      <c r="A300" s="143"/>
      <c r="B300" s="144"/>
      <c r="C300" s="145"/>
      <c r="D300" s="93"/>
      <c r="E300" s="93"/>
      <c r="F300" s="146"/>
    </row>
    <row r="301">
      <c r="A301" s="143"/>
      <c r="B301" s="144"/>
      <c r="C301" s="145"/>
      <c r="D301" s="93"/>
      <c r="E301" s="93"/>
      <c r="F301" s="146"/>
    </row>
    <row r="302">
      <c r="A302" s="143"/>
      <c r="B302" s="144"/>
      <c r="C302" s="145"/>
      <c r="D302" s="93"/>
      <c r="E302" s="93"/>
      <c r="F302" s="146"/>
    </row>
    <row r="303">
      <c r="A303" s="143"/>
      <c r="B303" s="144"/>
      <c r="C303" s="145"/>
      <c r="D303" s="93"/>
      <c r="E303" s="93"/>
      <c r="F303" s="146"/>
    </row>
    <row r="304">
      <c r="A304" s="143"/>
      <c r="B304" s="144"/>
      <c r="C304" s="145"/>
      <c r="D304" s="93"/>
      <c r="E304" s="93"/>
      <c r="F304" s="146"/>
    </row>
    <row r="305">
      <c r="A305" s="143"/>
      <c r="B305" s="144"/>
      <c r="C305" s="145"/>
      <c r="D305" s="93"/>
      <c r="E305" s="93"/>
      <c r="F305" s="146"/>
    </row>
    <row r="306">
      <c r="A306" s="143"/>
      <c r="B306" s="144"/>
      <c r="C306" s="145"/>
      <c r="D306" s="93"/>
      <c r="E306" s="93"/>
      <c r="F306" s="146"/>
    </row>
    <row r="307">
      <c r="A307" s="143"/>
      <c r="B307" s="144"/>
      <c r="C307" s="145"/>
      <c r="D307" s="93"/>
      <c r="E307" s="93"/>
      <c r="F307" s="146"/>
    </row>
    <row r="308">
      <c r="A308" s="143"/>
      <c r="B308" s="144"/>
      <c r="C308" s="145"/>
      <c r="D308" s="93"/>
      <c r="E308" s="93"/>
      <c r="F308" s="146"/>
    </row>
    <row r="309">
      <c r="A309" s="143"/>
      <c r="B309" s="144"/>
      <c r="C309" s="145"/>
      <c r="D309" s="93"/>
      <c r="E309" s="93"/>
      <c r="F309" s="146"/>
    </row>
    <row r="310">
      <c r="A310" s="143"/>
      <c r="B310" s="144"/>
      <c r="C310" s="145"/>
      <c r="D310" s="93"/>
      <c r="E310" s="93"/>
      <c r="F310" s="146"/>
    </row>
    <row r="311">
      <c r="A311" s="143"/>
      <c r="B311" s="144"/>
      <c r="C311" s="145"/>
      <c r="D311" s="93"/>
      <c r="E311" s="93"/>
      <c r="F311" s="146"/>
    </row>
    <row r="312">
      <c r="A312" s="143"/>
      <c r="B312" s="144"/>
      <c r="C312" s="145"/>
      <c r="D312" s="93"/>
      <c r="E312" s="93"/>
      <c r="F312" s="146"/>
    </row>
    <row r="313">
      <c r="A313" s="143"/>
      <c r="B313" s="144"/>
      <c r="C313" s="145"/>
      <c r="D313" s="93"/>
      <c r="E313" s="93"/>
      <c r="F313" s="146"/>
    </row>
    <row r="314">
      <c r="A314" s="143"/>
      <c r="B314" s="144"/>
      <c r="C314" s="145"/>
      <c r="D314" s="93"/>
      <c r="E314" s="93"/>
      <c r="F314" s="146"/>
    </row>
    <row r="315">
      <c r="A315" s="143"/>
      <c r="B315" s="144"/>
      <c r="C315" s="145"/>
      <c r="D315" s="93"/>
      <c r="E315" s="93"/>
      <c r="F315" s="146"/>
    </row>
    <row r="316">
      <c r="A316" s="143"/>
      <c r="B316" s="144"/>
      <c r="C316" s="145"/>
      <c r="D316" s="93"/>
      <c r="E316" s="93"/>
      <c r="F316" s="146"/>
    </row>
    <row r="317">
      <c r="A317" s="143"/>
      <c r="B317" s="144"/>
      <c r="C317" s="145"/>
      <c r="D317" s="93"/>
      <c r="E317" s="93"/>
      <c r="F317" s="146"/>
    </row>
    <row r="318">
      <c r="A318" s="143"/>
      <c r="B318" s="144"/>
      <c r="C318" s="145"/>
      <c r="D318" s="93"/>
      <c r="E318" s="93"/>
      <c r="F318" s="146"/>
    </row>
    <row r="319">
      <c r="A319" s="143"/>
      <c r="B319" s="144"/>
      <c r="C319" s="145"/>
      <c r="D319" s="93"/>
      <c r="E319" s="93"/>
      <c r="F319" s="146"/>
    </row>
    <row r="320">
      <c r="A320" s="143"/>
      <c r="B320" s="144"/>
      <c r="C320" s="145"/>
      <c r="D320" s="93"/>
      <c r="E320" s="93"/>
      <c r="F320" s="146"/>
    </row>
    <row r="321">
      <c r="A321" s="143"/>
      <c r="B321" s="144"/>
      <c r="C321" s="145"/>
      <c r="D321" s="93"/>
      <c r="E321" s="93"/>
      <c r="F321" s="146"/>
    </row>
    <row r="322">
      <c r="A322" s="143"/>
      <c r="B322" s="144"/>
      <c r="C322" s="145"/>
      <c r="D322" s="93"/>
      <c r="E322" s="93"/>
      <c r="F322" s="146"/>
    </row>
    <row r="323">
      <c r="A323" s="143"/>
      <c r="B323" s="144"/>
      <c r="C323" s="145"/>
      <c r="D323" s="93"/>
      <c r="E323" s="93"/>
      <c r="F323" s="146"/>
    </row>
    <row r="324">
      <c r="A324" s="143"/>
      <c r="B324" s="144"/>
      <c r="C324" s="145"/>
      <c r="D324" s="93"/>
      <c r="E324" s="93"/>
      <c r="F324" s="146"/>
    </row>
    <row r="325">
      <c r="A325" s="143"/>
      <c r="B325" s="144"/>
      <c r="C325" s="145"/>
      <c r="D325" s="93"/>
      <c r="E325" s="93"/>
      <c r="F325" s="146"/>
    </row>
    <row r="326">
      <c r="A326" s="143"/>
      <c r="B326" s="144"/>
      <c r="C326" s="145"/>
      <c r="D326" s="93"/>
      <c r="E326" s="93"/>
      <c r="F326" s="146"/>
    </row>
    <row r="327">
      <c r="A327" s="143"/>
      <c r="B327" s="144"/>
      <c r="C327" s="145"/>
      <c r="D327" s="93"/>
      <c r="E327" s="93"/>
      <c r="F327" s="146"/>
    </row>
    <row r="328">
      <c r="A328" s="143"/>
      <c r="B328" s="144"/>
      <c r="C328" s="145"/>
      <c r="D328" s="93"/>
      <c r="E328" s="93"/>
      <c r="F328" s="146"/>
    </row>
    <row r="329">
      <c r="A329" s="143"/>
      <c r="B329" s="144"/>
      <c r="C329" s="145"/>
      <c r="D329" s="93"/>
      <c r="E329" s="93"/>
      <c r="F329" s="146"/>
    </row>
    <row r="330">
      <c r="A330" s="143"/>
      <c r="B330" s="144"/>
      <c r="C330" s="145"/>
      <c r="D330" s="93"/>
      <c r="E330" s="93"/>
      <c r="F330" s="146"/>
    </row>
    <row r="331">
      <c r="A331" s="143"/>
      <c r="B331" s="144"/>
      <c r="C331" s="145"/>
      <c r="D331" s="93"/>
      <c r="E331" s="93"/>
      <c r="F331" s="146"/>
    </row>
    <row r="332">
      <c r="A332" s="143"/>
      <c r="B332" s="144"/>
      <c r="C332" s="145"/>
      <c r="D332" s="93"/>
      <c r="E332" s="93"/>
      <c r="F332" s="146"/>
    </row>
    <row r="333">
      <c r="A333" s="143"/>
      <c r="B333" s="144"/>
      <c r="C333" s="145"/>
      <c r="D333" s="93"/>
      <c r="E333" s="93"/>
      <c r="F333" s="146"/>
    </row>
    <row r="334">
      <c r="A334" s="143"/>
      <c r="B334" s="144"/>
      <c r="C334" s="145"/>
      <c r="D334" s="93"/>
      <c r="E334" s="93"/>
      <c r="F334" s="146"/>
    </row>
    <row r="335">
      <c r="A335" s="143"/>
      <c r="B335" s="144"/>
      <c r="C335" s="145"/>
      <c r="D335" s="93"/>
      <c r="E335" s="93"/>
      <c r="F335" s="146"/>
    </row>
    <row r="336">
      <c r="A336" s="143"/>
      <c r="B336" s="144"/>
      <c r="C336" s="145"/>
      <c r="D336" s="93"/>
      <c r="E336" s="93"/>
      <c r="F336" s="146"/>
    </row>
    <row r="337">
      <c r="A337" s="143"/>
      <c r="B337" s="144"/>
      <c r="C337" s="145"/>
      <c r="D337" s="93"/>
      <c r="E337" s="93"/>
      <c r="F337" s="146"/>
    </row>
    <row r="338">
      <c r="A338" s="143"/>
      <c r="B338" s="144"/>
      <c r="C338" s="145"/>
      <c r="D338" s="93"/>
      <c r="E338" s="93"/>
      <c r="F338" s="146"/>
    </row>
    <row r="339">
      <c r="A339" s="143"/>
      <c r="B339" s="144"/>
      <c r="C339" s="145"/>
      <c r="D339" s="93"/>
      <c r="E339" s="93"/>
      <c r="F339" s="146"/>
    </row>
    <row r="340">
      <c r="A340" s="143"/>
      <c r="B340" s="144"/>
      <c r="C340" s="145"/>
      <c r="D340" s="93"/>
      <c r="E340" s="93"/>
      <c r="F340" s="146"/>
    </row>
    <row r="341">
      <c r="A341" s="143"/>
      <c r="B341" s="144"/>
      <c r="C341" s="145"/>
      <c r="D341" s="93"/>
      <c r="E341" s="93"/>
      <c r="F341" s="146"/>
    </row>
    <row r="342">
      <c r="A342" s="143"/>
      <c r="B342" s="144"/>
      <c r="C342" s="145"/>
      <c r="D342" s="93"/>
      <c r="E342" s="93"/>
      <c r="F342" s="146"/>
    </row>
    <row r="343">
      <c r="A343" s="143"/>
      <c r="B343" s="144"/>
      <c r="C343" s="145"/>
      <c r="D343" s="93"/>
      <c r="E343" s="93"/>
      <c r="F343" s="146"/>
    </row>
    <row r="344">
      <c r="A344" s="143"/>
      <c r="B344" s="144"/>
      <c r="C344" s="145"/>
      <c r="D344" s="93"/>
      <c r="E344" s="93"/>
      <c r="F344" s="146"/>
    </row>
    <row r="345">
      <c r="A345" s="143"/>
      <c r="B345" s="144"/>
      <c r="C345" s="145"/>
      <c r="D345" s="93"/>
      <c r="E345" s="93"/>
      <c r="F345" s="146"/>
    </row>
    <row r="346">
      <c r="A346" s="143"/>
      <c r="B346" s="144"/>
      <c r="C346" s="145"/>
      <c r="D346" s="93"/>
      <c r="E346" s="93"/>
      <c r="F346" s="146"/>
    </row>
    <row r="347">
      <c r="A347" s="143"/>
      <c r="B347" s="144"/>
      <c r="C347" s="145"/>
      <c r="D347" s="93"/>
      <c r="E347" s="93"/>
      <c r="F347" s="146"/>
    </row>
    <row r="348">
      <c r="A348" s="143"/>
      <c r="B348" s="144"/>
      <c r="C348" s="145"/>
      <c r="D348" s="93"/>
      <c r="E348" s="93"/>
      <c r="F348" s="146"/>
    </row>
    <row r="349">
      <c r="A349" s="143"/>
      <c r="B349" s="144"/>
      <c r="C349" s="145"/>
      <c r="D349" s="93"/>
      <c r="E349" s="93"/>
      <c r="F349" s="146"/>
    </row>
    <row r="350">
      <c r="A350" s="143"/>
      <c r="B350" s="144"/>
      <c r="C350" s="145"/>
      <c r="D350" s="93"/>
      <c r="E350" s="93"/>
      <c r="F350" s="146"/>
    </row>
    <row r="351">
      <c r="A351" s="143"/>
      <c r="B351" s="144"/>
      <c r="C351" s="145"/>
      <c r="D351" s="93"/>
      <c r="E351" s="93"/>
      <c r="F351" s="146"/>
    </row>
    <row r="352">
      <c r="A352" s="143"/>
      <c r="B352" s="144"/>
      <c r="C352" s="145"/>
      <c r="D352" s="93"/>
      <c r="E352" s="93"/>
      <c r="F352" s="146"/>
    </row>
    <row r="353">
      <c r="A353" s="143"/>
      <c r="B353" s="144"/>
      <c r="C353" s="145"/>
      <c r="D353" s="93"/>
      <c r="E353" s="93"/>
      <c r="F353" s="146"/>
    </row>
    <row r="354">
      <c r="A354" s="143"/>
      <c r="B354" s="144"/>
      <c r="C354" s="145"/>
      <c r="D354" s="93"/>
      <c r="E354" s="93"/>
      <c r="F354" s="146"/>
    </row>
    <row r="355">
      <c r="A355" s="143"/>
      <c r="B355" s="144"/>
      <c r="C355" s="145"/>
      <c r="D355" s="93"/>
      <c r="E355" s="93"/>
      <c r="F355" s="146"/>
    </row>
    <row r="356">
      <c r="A356" s="143"/>
      <c r="B356" s="144"/>
      <c r="C356" s="145"/>
      <c r="D356" s="93"/>
      <c r="E356" s="93"/>
      <c r="F356" s="146"/>
    </row>
    <row r="357">
      <c r="A357" s="143"/>
      <c r="B357" s="144"/>
      <c r="C357" s="145"/>
      <c r="D357" s="93"/>
      <c r="E357" s="93"/>
      <c r="F357" s="146"/>
    </row>
    <row r="358">
      <c r="A358" s="143"/>
      <c r="B358" s="144"/>
      <c r="C358" s="145"/>
      <c r="D358" s="93"/>
      <c r="E358" s="93"/>
      <c r="F358" s="146"/>
    </row>
    <row r="359">
      <c r="A359" s="143"/>
      <c r="B359" s="144"/>
      <c r="C359" s="145"/>
      <c r="D359" s="93"/>
      <c r="E359" s="93"/>
      <c r="F359" s="146"/>
    </row>
    <row r="360">
      <c r="A360" s="143"/>
      <c r="B360" s="144"/>
      <c r="C360" s="145"/>
      <c r="D360" s="93"/>
      <c r="E360" s="93"/>
      <c r="F360" s="146"/>
    </row>
    <row r="361">
      <c r="A361" s="143"/>
      <c r="B361" s="144"/>
      <c r="C361" s="145"/>
      <c r="D361" s="93"/>
      <c r="E361" s="93"/>
      <c r="F361" s="146"/>
    </row>
    <row r="362">
      <c r="A362" s="143"/>
      <c r="B362" s="144"/>
      <c r="C362" s="145"/>
      <c r="D362" s="93"/>
      <c r="E362" s="93"/>
      <c r="F362" s="146"/>
    </row>
    <row r="363">
      <c r="A363" s="143"/>
      <c r="B363" s="144"/>
      <c r="C363" s="145"/>
      <c r="D363" s="93"/>
      <c r="E363" s="93"/>
      <c r="F363" s="146"/>
    </row>
    <row r="364">
      <c r="A364" s="143"/>
      <c r="B364" s="144"/>
      <c r="C364" s="145"/>
      <c r="D364" s="93"/>
      <c r="E364" s="93"/>
      <c r="F364" s="146"/>
    </row>
    <row r="365">
      <c r="A365" s="143"/>
      <c r="B365" s="144"/>
      <c r="C365" s="145"/>
      <c r="D365" s="93"/>
      <c r="E365" s="93"/>
      <c r="F365" s="146"/>
    </row>
    <row r="366">
      <c r="A366" s="143"/>
      <c r="B366" s="144"/>
      <c r="C366" s="145"/>
      <c r="D366" s="93"/>
      <c r="E366" s="93"/>
      <c r="F366" s="146"/>
    </row>
    <row r="367">
      <c r="A367" s="143"/>
      <c r="B367" s="144"/>
      <c r="C367" s="145"/>
      <c r="D367" s="93"/>
      <c r="E367" s="93"/>
      <c r="F367" s="146"/>
    </row>
    <row r="368">
      <c r="A368" s="143"/>
      <c r="B368" s="144"/>
      <c r="C368" s="145"/>
      <c r="D368" s="93"/>
      <c r="E368" s="93"/>
      <c r="F368" s="146"/>
    </row>
    <row r="369">
      <c r="A369" s="143"/>
      <c r="B369" s="144"/>
      <c r="C369" s="145"/>
      <c r="D369" s="93"/>
      <c r="E369" s="93"/>
      <c r="F369" s="146"/>
    </row>
    <row r="370">
      <c r="A370" s="143"/>
      <c r="B370" s="144"/>
      <c r="C370" s="145"/>
      <c r="D370" s="93"/>
      <c r="E370" s="93"/>
      <c r="F370" s="146"/>
    </row>
    <row r="371">
      <c r="A371" s="143"/>
      <c r="B371" s="144"/>
      <c r="C371" s="145"/>
      <c r="D371" s="93"/>
      <c r="E371" s="93"/>
      <c r="F371" s="146"/>
    </row>
    <row r="372">
      <c r="A372" s="143"/>
      <c r="B372" s="144"/>
      <c r="C372" s="145"/>
      <c r="D372" s="93"/>
      <c r="E372" s="93"/>
      <c r="F372" s="146"/>
    </row>
    <row r="373">
      <c r="A373" s="143"/>
      <c r="B373" s="144"/>
      <c r="C373" s="145"/>
      <c r="D373" s="93"/>
      <c r="E373" s="93"/>
      <c r="F373" s="146"/>
    </row>
    <row r="374">
      <c r="A374" s="143"/>
      <c r="B374" s="144"/>
      <c r="C374" s="145"/>
      <c r="D374" s="93"/>
      <c r="E374" s="93"/>
      <c r="F374" s="146"/>
    </row>
    <row r="375">
      <c r="A375" s="143"/>
      <c r="B375" s="144"/>
      <c r="C375" s="145"/>
      <c r="D375" s="93"/>
      <c r="E375" s="93"/>
      <c r="F375" s="146"/>
    </row>
    <row r="376">
      <c r="A376" s="143"/>
      <c r="B376" s="144"/>
      <c r="C376" s="145"/>
      <c r="D376" s="93"/>
      <c r="E376" s="93"/>
      <c r="F376" s="146"/>
    </row>
    <row r="377">
      <c r="A377" s="143"/>
      <c r="B377" s="144"/>
      <c r="C377" s="145"/>
      <c r="D377" s="93"/>
      <c r="E377" s="93"/>
      <c r="F377" s="146"/>
    </row>
    <row r="378">
      <c r="A378" s="143"/>
      <c r="B378" s="144"/>
      <c r="C378" s="145"/>
      <c r="D378" s="93"/>
      <c r="E378" s="93"/>
      <c r="F378" s="146"/>
    </row>
    <row r="379">
      <c r="A379" s="143"/>
      <c r="B379" s="144"/>
      <c r="C379" s="145"/>
      <c r="D379" s="93"/>
      <c r="E379" s="93"/>
      <c r="F379" s="146"/>
    </row>
    <row r="380">
      <c r="A380" s="143"/>
      <c r="B380" s="144"/>
      <c r="C380" s="145"/>
      <c r="D380" s="93"/>
      <c r="E380" s="93"/>
      <c r="F380" s="146"/>
    </row>
    <row r="381">
      <c r="A381" s="143"/>
      <c r="B381" s="144"/>
      <c r="C381" s="145"/>
      <c r="D381" s="93"/>
      <c r="E381" s="93"/>
      <c r="F381" s="146"/>
    </row>
    <row r="382">
      <c r="A382" s="143"/>
      <c r="B382" s="144"/>
      <c r="C382" s="145"/>
      <c r="D382" s="93"/>
      <c r="E382" s="93"/>
      <c r="F382" s="146"/>
    </row>
    <row r="383">
      <c r="A383" s="143"/>
      <c r="B383" s="144"/>
      <c r="C383" s="145"/>
      <c r="D383" s="93"/>
      <c r="E383" s="93"/>
      <c r="F383" s="146"/>
    </row>
    <row r="384">
      <c r="A384" s="143"/>
      <c r="B384" s="144"/>
      <c r="C384" s="145"/>
      <c r="D384" s="93"/>
      <c r="E384" s="93"/>
      <c r="F384" s="146"/>
    </row>
    <row r="385">
      <c r="A385" s="143"/>
      <c r="B385" s="144"/>
      <c r="C385" s="145"/>
      <c r="D385" s="93"/>
      <c r="E385" s="93"/>
      <c r="F385" s="146"/>
    </row>
    <row r="386">
      <c r="A386" s="143"/>
      <c r="B386" s="144"/>
      <c r="C386" s="145"/>
      <c r="D386" s="93"/>
      <c r="E386" s="93"/>
      <c r="F386" s="146"/>
    </row>
    <row r="387">
      <c r="A387" s="143"/>
      <c r="B387" s="144"/>
      <c r="C387" s="145"/>
      <c r="D387" s="93"/>
      <c r="E387" s="93"/>
      <c r="F387" s="146"/>
    </row>
    <row r="388">
      <c r="A388" s="143"/>
      <c r="B388" s="144"/>
      <c r="C388" s="145"/>
      <c r="D388" s="93"/>
      <c r="E388" s="93"/>
      <c r="F388" s="146"/>
    </row>
    <row r="389">
      <c r="A389" s="143"/>
      <c r="B389" s="144"/>
      <c r="C389" s="145"/>
      <c r="D389" s="93"/>
      <c r="E389" s="93"/>
      <c r="F389" s="146"/>
    </row>
    <row r="390">
      <c r="A390" s="143"/>
      <c r="B390" s="144"/>
      <c r="C390" s="145"/>
      <c r="D390" s="93"/>
      <c r="E390" s="93"/>
      <c r="F390" s="146"/>
    </row>
    <row r="391">
      <c r="A391" s="143"/>
      <c r="B391" s="144"/>
      <c r="C391" s="145"/>
      <c r="D391" s="93"/>
      <c r="E391" s="93"/>
      <c r="F391" s="146"/>
    </row>
    <row r="392">
      <c r="A392" s="143"/>
      <c r="B392" s="144"/>
      <c r="C392" s="145"/>
      <c r="D392" s="93"/>
      <c r="E392" s="93"/>
      <c r="F392" s="146"/>
    </row>
    <row r="393">
      <c r="A393" s="143"/>
      <c r="B393" s="144"/>
      <c r="C393" s="145"/>
      <c r="D393" s="93"/>
      <c r="E393" s="93"/>
      <c r="F393" s="146"/>
    </row>
    <row r="394">
      <c r="A394" s="143"/>
      <c r="B394" s="144"/>
      <c r="C394" s="145"/>
      <c r="D394" s="93"/>
      <c r="E394" s="93"/>
      <c r="F394" s="146"/>
    </row>
    <row r="395">
      <c r="A395" s="143"/>
      <c r="B395" s="144"/>
      <c r="C395" s="145"/>
      <c r="D395" s="93"/>
      <c r="E395" s="93"/>
      <c r="F395" s="146"/>
    </row>
    <row r="396">
      <c r="A396" s="143"/>
      <c r="B396" s="144"/>
      <c r="C396" s="145"/>
      <c r="D396" s="93"/>
      <c r="E396" s="93"/>
      <c r="F396" s="146"/>
    </row>
    <row r="397">
      <c r="A397" s="143"/>
      <c r="B397" s="144"/>
      <c r="C397" s="145"/>
      <c r="D397" s="93"/>
      <c r="E397" s="93"/>
      <c r="F397" s="146"/>
    </row>
    <row r="398">
      <c r="A398" s="143"/>
      <c r="B398" s="144"/>
      <c r="C398" s="145"/>
      <c r="D398" s="93"/>
      <c r="E398" s="93"/>
      <c r="F398" s="146"/>
    </row>
    <row r="399">
      <c r="A399" s="143"/>
      <c r="B399" s="144"/>
      <c r="C399" s="145"/>
      <c r="D399" s="93"/>
      <c r="E399" s="93"/>
      <c r="F399" s="146"/>
    </row>
    <row r="400">
      <c r="A400" s="143"/>
      <c r="B400" s="144"/>
      <c r="C400" s="145"/>
      <c r="D400" s="93"/>
      <c r="E400" s="93"/>
      <c r="F400" s="146"/>
    </row>
    <row r="401">
      <c r="A401" s="143"/>
      <c r="B401" s="144"/>
      <c r="C401" s="145"/>
      <c r="D401" s="93"/>
      <c r="E401" s="93"/>
      <c r="F401" s="146"/>
    </row>
    <row r="402">
      <c r="A402" s="143"/>
      <c r="B402" s="144"/>
      <c r="C402" s="145"/>
      <c r="D402" s="93"/>
      <c r="E402" s="93"/>
      <c r="F402" s="146"/>
    </row>
    <row r="403">
      <c r="A403" s="143"/>
      <c r="B403" s="144"/>
      <c r="C403" s="145"/>
      <c r="D403" s="93"/>
      <c r="E403" s="93"/>
      <c r="F403" s="146"/>
    </row>
    <row r="404">
      <c r="A404" s="143"/>
      <c r="B404" s="144"/>
      <c r="C404" s="145"/>
      <c r="D404" s="93"/>
      <c r="E404" s="93"/>
      <c r="F404" s="146"/>
    </row>
    <row r="405">
      <c r="A405" s="143"/>
      <c r="B405" s="144"/>
      <c r="C405" s="145"/>
      <c r="D405" s="93"/>
      <c r="E405" s="93"/>
      <c r="F405" s="146"/>
    </row>
    <row r="406">
      <c r="A406" s="143"/>
      <c r="B406" s="144"/>
      <c r="C406" s="145"/>
      <c r="D406" s="93"/>
      <c r="E406" s="93"/>
      <c r="F406" s="146"/>
    </row>
    <row r="407">
      <c r="A407" s="143"/>
      <c r="B407" s="144"/>
      <c r="C407" s="145"/>
      <c r="D407" s="93"/>
      <c r="E407" s="93"/>
      <c r="F407" s="146"/>
    </row>
    <row r="408">
      <c r="A408" s="143"/>
      <c r="B408" s="144"/>
      <c r="C408" s="145"/>
      <c r="D408" s="93"/>
      <c r="E408" s="93"/>
      <c r="F408" s="146"/>
    </row>
    <row r="409">
      <c r="A409" s="143"/>
      <c r="B409" s="144"/>
      <c r="C409" s="145"/>
      <c r="D409" s="93"/>
      <c r="E409" s="93"/>
      <c r="F409" s="146"/>
    </row>
    <row r="410">
      <c r="A410" s="143"/>
      <c r="B410" s="144"/>
      <c r="C410" s="145"/>
      <c r="D410" s="93"/>
      <c r="E410" s="93"/>
      <c r="F410" s="146"/>
    </row>
    <row r="411">
      <c r="A411" s="143"/>
      <c r="B411" s="144"/>
      <c r="C411" s="145"/>
      <c r="D411" s="93"/>
      <c r="E411" s="93"/>
      <c r="F411" s="146"/>
    </row>
    <row r="412">
      <c r="A412" s="143"/>
      <c r="B412" s="144"/>
      <c r="C412" s="145"/>
      <c r="D412" s="93"/>
      <c r="E412" s="93"/>
      <c r="F412" s="146"/>
    </row>
    <row r="413">
      <c r="A413" s="143"/>
      <c r="B413" s="144"/>
      <c r="C413" s="145"/>
      <c r="D413" s="93"/>
      <c r="E413" s="93"/>
      <c r="F413" s="146"/>
    </row>
    <row r="414">
      <c r="A414" s="143"/>
      <c r="B414" s="144"/>
      <c r="C414" s="145"/>
      <c r="D414" s="93"/>
      <c r="E414" s="93"/>
      <c r="F414" s="146"/>
    </row>
    <row r="415">
      <c r="A415" s="143"/>
      <c r="B415" s="144"/>
      <c r="C415" s="145"/>
      <c r="D415" s="93"/>
      <c r="E415" s="93"/>
      <c r="F415" s="146"/>
    </row>
    <row r="416">
      <c r="A416" s="143"/>
      <c r="B416" s="144"/>
      <c r="C416" s="145"/>
      <c r="D416" s="93"/>
      <c r="E416" s="93"/>
      <c r="F416" s="146"/>
    </row>
    <row r="417">
      <c r="A417" s="143"/>
      <c r="B417" s="144"/>
      <c r="C417" s="145"/>
      <c r="D417" s="93"/>
      <c r="E417" s="93"/>
      <c r="F417" s="146"/>
    </row>
    <row r="418">
      <c r="A418" s="143"/>
      <c r="B418" s="144"/>
      <c r="C418" s="145"/>
      <c r="D418" s="93"/>
      <c r="E418" s="93"/>
      <c r="F418" s="146"/>
    </row>
    <row r="419">
      <c r="A419" s="143"/>
      <c r="B419" s="144"/>
      <c r="C419" s="145"/>
      <c r="D419" s="93"/>
      <c r="E419" s="93"/>
      <c r="F419" s="146"/>
    </row>
    <row r="420">
      <c r="A420" s="143"/>
      <c r="B420" s="144"/>
      <c r="C420" s="145"/>
      <c r="D420" s="93"/>
      <c r="E420" s="93"/>
      <c r="F420" s="146"/>
    </row>
    <row r="421">
      <c r="A421" s="143"/>
      <c r="B421" s="144"/>
      <c r="C421" s="145"/>
      <c r="D421" s="93"/>
      <c r="E421" s="93"/>
      <c r="F421" s="146"/>
    </row>
    <row r="422">
      <c r="A422" s="143"/>
      <c r="B422" s="144"/>
      <c r="C422" s="145"/>
      <c r="D422" s="93"/>
      <c r="E422" s="93"/>
      <c r="F422" s="146"/>
    </row>
    <row r="423">
      <c r="A423" s="143"/>
      <c r="B423" s="144"/>
      <c r="C423" s="145"/>
      <c r="D423" s="93"/>
      <c r="E423" s="93"/>
      <c r="F423" s="146"/>
    </row>
    <row r="424">
      <c r="A424" s="143"/>
      <c r="B424" s="144"/>
      <c r="C424" s="145"/>
      <c r="D424" s="93"/>
      <c r="E424" s="93"/>
      <c r="F424" s="146"/>
    </row>
    <row r="425">
      <c r="A425" s="143"/>
      <c r="B425" s="144"/>
      <c r="C425" s="145"/>
      <c r="D425" s="93"/>
      <c r="E425" s="93"/>
      <c r="F425" s="146"/>
    </row>
    <row r="426">
      <c r="A426" s="143"/>
      <c r="B426" s="144"/>
      <c r="C426" s="145"/>
      <c r="D426" s="93"/>
      <c r="E426" s="93"/>
      <c r="F426" s="146"/>
    </row>
    <row r="427">
      <c r="A427" s="143"/>
      <c r="B427" s="144"/>
      <c r="C427" s="145"/>
      <c r="D427" s="93"/>
      <c r="E427" s="93"/>
      <c r="F427" s="146"/>
    </row>
    <row r="428">
      <c r="A428" s="143"/>
      <c r="B428" s="144"/>
      <c r="C428" s="145"/>
      <c r="D428" s="93"/>
      <c r="E428" s="93"/>
      <c r="F428" s="146"/>
    </row>
    <row r="429">
      <c r="A429" s="143"/>
      <c r="B429" s="144"/>
      <c r="C429" s="145"/>
      <c r="D429" s="93"/>
      <c r="E429" s="93"/>
      <c r="F429" s="146"/>
    </row>
    <row r="430">
      <c r="A430" s="143"/>
      <c r="B430" s="144"/>
      <c r="C430" s="145"/>
      <c r="D430" s="93"/>
      <c r="E430" s="93"/>
      <c r="F430" s="146"/>
    </row>
    <row r="431">
      <c r="A431" s="143"/>
      <c r="B431" s="144"/>
      <c r="C431" s="145"/>
      <c r="D431" s="93"/>
      <c r="E431" s="93"/>
      <c r="F431" s="146"/>
    </row>
    <row r="432">
      <c r="A432" s="143"/>
      <c r="B432" s="144"/>
      <c r="C432" s="145"/>
      <c r="D432" s="93"/>
      <c r="E432" s="93"/>
      <c r="F432" s="146"/>
    </row>
    <row r="433">
      <c r="A433" s="143"/>
      <c r="B433" s="144"/>
      <c r="C433" s="145"/>
      <c r="D433" s="93"/>
      <c r="E433" s="93"/>
      <c r="F433" s="146"/>
    </row>
    <row r="434">
      <c r="A434" s="143"/>
      <c r="B434" s="144"/>
      <c r="C434" s="145"/>
      <c r="D434" s="93"/>
      <c r="E434" s="93"/>
      <c r="F434" s="146"/>
    </row>
    <row r="435">
      <c r="A435" s="143"/>
      <c r="B435" s="144"/>
      <c r="C435" s="145"/>
      <c r="D435" s="93"/>
      <c r="E435" s="93"/>
      <c r="F435" s="146"/>
    </row>
    <row r="436">
      <c r="A436" s="143"/>
      <c r="B436" s="144"/>
      <c r="C436" s="145"/>
      <c r="D436" s="93"/>
      <c r="E436" s="93"/>
      <c r="F436" s="146"/>
    </row>
    <row r="437">
      <c r="A437" s="143"/>
      <c r="B437" s="144"/>
      <c r="C437" s="145"/>
      <c r="D437" s="93"/>
      <c r="E437" s="93"/>
      <c r="F437" s="146"/>
    </row>
    <row r="438">
      <c r="A438" s="143"/>
      <c r="B438" s="144"/>
      <c r="C438" s="145"/>
      <c r="D438" s="93"/>
      <c r="E438" s="93"/>
      <c r="F438" s="146"/>
    </row>
    <row r="439">
      <c r="A439" s="143"/>
      <c r="B439" s="144"/>
      <c r="C439" s="145"/>
      <c r="D439" s="93"/>
      <c r="E439" s="93"/>
      <c r="F439" s="146"/>
    </row>
    <row r="440">
      <c r="A440" s="143"/>
      <c r="B440" s="144"/>
      <c r="C440" s="145"/>
      <c r="D440" s="93"/>
      <c r="E440" s="93"/>
      <c r="F440" s="146"/>
    </row>
    <row r="441">
      <c r="A441" s="143"/>
      <c r="B441" s="144"/>
      <c r="C441" s="145"/>
      <c r="D441" s="93"/>
      <c r="E441" s="93"/>
      <c r="F441" s="146"/>
    </row>
    <row r="442">
      <c r="A442" s="143"/>
      <c r="B442" s="144"/>
      <c r="C442" s="145"/>
      <c r="D442" s="93"/>
      <c r="E442" s="93"/>
      <c r="F442" s="146"/>
    </row>
    <row r="443">
      <c r="A443" s="143"/>
      <c r="B443" s="144"/>
      <c r="C443" s="145"/>
      <c r="D443" s="93"/>
      <c r="E443" s="93"/>
      <c r="F443" s="146"/>
    </row>
    <row r="444">
      <c r="A444" s="143"/>
      <c r="B444" s="144"/>
      <c r="C444" s="145"/>
      <c r="D444" s="93"/>
      <c r="E444" s="93"/>
      <c r="F444" s="146"/>
    </row>
    <row r="445">
      <c r="A445" s="143"/>
      <c r="B445" s="144"/>
      <c r="C445" s="145"/>
      <c r="D445" s="93"/>
      <c r="E445" s="93"/>
      <c r="F445" s="146"/>
    </row>
    <row r="446">
      <c r="A446" s="143"/>
      <c r="B446" s="144"/>
      <c r="C446" s="145"/>
      <c r="D446" s="93"/>
      <c r="E446" s="93"/>
      <c r="F446" s="146"/>
    </row>
    <row r="447">
      <c r="A447" s="143"/>
      <c r="B447" s="144"/>
      <c r="C447" s="145"/>
      <c r="D447" s="93"/>
      <c r="E447" s="93"/>
      <c r="F447" s="146"/>
    </row>
    <row r="448">
      <c r="A448" s="143"/>
      <c r="B448" s="144"/>
      <c r="C448" s="145"/>
      <c r="D448" s="93"/>
      <c r="E448" s="93"/>
      <c r="F448" s="146"/>
    </row>
    <row r="449">
      <c r="A449" s="143"/>
      <c r="B449" s="144"/>
      <c r="C449" s="145"/>
      <c r="D449" s="93"/>
      <c r="E449" s="93"/>
      <c r="F449" s="146"/>
    </row>
    <row r="450">
      <c r="A450" s="143"/>
      <c r="B450" s="144"/>
      <c r="C450" s="145"/>
      <c r="D450" s="93"/>
      <c r="E450" s="93"/>
      <c r="F450" s="146"/>
    </row>
    <row r="451">
      <c r="A451" s="143"/>
      <c r="B451" s="144"/>
      <c r="C451" s="145"/>
      <c r="D451" s="93"/>
      <c r="E451" s="93"/>
      <c r="F451" s="146"/>
    </row>
    <row r="452">
      <c r="A452" s="143"/>
      <c r="B452" s="144"/>
      <c r="C452" s="145"/>
      <c r="D452" s="93"/>
      <c r="E452" s="93"/>
      <c r="F452" s="146"/>
    </row>
    <row r="453">
      <c r="A453" s="143"/>
      <c r="B453" s="144"/>
      <c r="C453" s="145"/>
      <c r="D453" s="93"/>
      <c r="E453" s="93"/>
      <c r="F453" s="146"/>
    </row>
    <row r="454">
      <c r="A454" s="143"/>
      <c r="B454" s="144"/>
      <c r="C454" s="145"/>
      <c r="D454" s="93"/>
      <c r="E454" s="93"/>
      <c r="F454" s="146"/>
    </row>
    <row r="455">
      <c r="A455" s="143"/>
      <c r="B455" s="144"/>
      <c r="C455" s="145"/>
      <c r="D455" s="93"/>
      <c r="E455" s="93"/>
      <c r="F455" s="146"/>
    </row>
    <row r="456">
      <c r="A456" s="143"/>
      <c r="B456" s="144"/>
      <c r="C456" s="145"/>
      <c r="D456" s="93"/>
      <c r="E456" s="93"/>
      <c r="F456" s="146"/>
    </row>
    <row r="457">
      <c r="A457" s="143"/>
      <c r="B457" s="144"/>
      <c r="C457" s="145"/>
      <c r="D457" s="93"/>
      <c r="E457" s="93"/>
      <c r="F457" s="146"/>
    </row>
    <row r="458">
      <c r="A458" s="143"/>
      <c r="B458" s="144"/>
      <c r="C458" s="145"/>
      <c r="D458" s="93"/>
      <c r="E458" s="93"/>
      <c r="F458" s="146"/>
    </row>
    <row r="459">
      <c r="A459" s="143"/>
      <c r="B459" s="144"/>
      <c r="C459" s="145"/>
      <c r="D459" s="93"/>
      <c r="E459" s="93"/>
      <c r="F459" s="146"/>
    </row>
    <row r="460">
      <c r="A460" s="143"/>
      <c r="B460" s="144"/>
      <c r="C460" s="145"/>
      <c r="D460" s="93"/>
      <c r="E460" s="93"/>
      <c r="F460" s="146"/>
    </row>
    <row r="461">
      <c r="A461" s="143"/>
      <c r="B461" s="144"/>
      <c r="C461" s="145"/>
      <c r="D461" s="93"/>
      <c r="E461" s="93"/>
      <c r="F461" s="146"/>
    </row>
    <row r="462">
      <c r="A462" s="143"/>
      <c r="B462" s="144"/>
      <c r="C462" s="145"/>
      <c r="D462" s="93"/>
      <c r="E462" s="93"/>
      <c r="F462" s="146"/>
    </row>
    <row r="463">
      <c r="A463" s="143"/>
      <c r="B463" s="144"/>
      <c r="C463" s="145"/>
      <c r="D463" s="93"/>
      <c r="E463" s="93"/>
      <c r="F463" s="146"/>
    </row>
    <row r="464">
      <c r="A464" s="143"/>
      <c r="B464" s="144"/>
      <c r="C464" s="145"/>
      <c r="D464" s="93"/>
      <c r="E464" s="93"/>
      <c r="F464" s="146"/>
    </row>
    <row r="465">
      <c r="A465" s="143"/>
      <c r="B465" s="144"/>
      <c r="C465" s="145"/>
      <c r="D465" s="93"/>
      <c r="E465" s="93"/>
      <c r="F465" s="146"/>
    </row>
    <row r="466">
      <c r="A466" s="143"/>
      <c r="B466" s="144"/>
      <c r="C466" s="145"/>
      <c r="D466" s="93"/>
      <c r="E466" s="93"/>
      <c r="F466" s="146"/>
    </row>
    <row r="467">
      <c r="A467" s="143"/>
      <c r="B467" s="144"/>
      <c r="C467" s="145"/>
      <c r="D467" s="93"/>
      <c r="E467" s="93"/>
      <c r="F467" s="146"/>
    </row>
    <row r="468">
      <c r="A468" s="143"/>
      <c r="B468" s="144"/>
      <c r="C468" s="145"/>
      <c r="D468" s="93"/>
      <c r="E468" s="93"/>
      <c r="F468" s="146"/>
    </row>
    <row r="469">
      <c r="A469" s="143"/>
      <c r="B469" s="144"/>
      <c r="C469" s="145"/>
      <c r="D469" s="93"/>
      <c r="E469" s="93"/>
      <c r="F469" s="146"/>
    </row>
    <row r="470">
      <c r="A470" s="143"/>
      <c r="B470" s="144"/>
      <c r="C470" s="145"/>
      <c r="D470" s="93"/>
      <c r="E470" s="93"/>
      <c r="F470" s="146"/>
    </row>
    <row r="471">
      <c r="A471" s="143"/>
      <c r="B471" s="144"/>
      <c r="C471" s="145"/>
      <c r="D471" s="93"/>
      <c r="E471" s="93"/>
      <c r="F471" s="146"/>
    </row>
    <row r="472">
      <c r="A472" s="143"/>
      <c r="B472" s="144"/>
      <c r="C472" s="145"/>
      <c r="D472" s="93"/>
      <c r="E472" s="93"/>
      <c r="F472" s="146"/>
    </row>
    <row r="473">
      <c r="A473" s="143"/>
      <c r="B473" s="144"/>
      <c r="C473" s="145"/>
      <c r="D473" s="93"/>
      <c r="E473" s="93"/>
      <c r="F473" s="146"/>
    </row>
    <row r="474">
      <c r="A474" s="143"/>
      <c r="B474" s="144"/>
      <c r="C474" s="145"/>
      <c r="D474" s="93"/>
      <c r="E474" s="93"/>
      <c r="F474" s="146"/>
    </row>
    <row r="475">
      <c r="A475" s="143"/>
      <c r="B475" s="144"/>
      <c r="C475" s="145"/>
      <c r="D475" s="93"/>
      <c r="E475" s="93"/>
      <c r="F475" s="146"/>
    </row>
    <row r="476">
      <c r="A476" s="143"/>
      <c r="B476" s="144"/>
      <c r="C476" s="145"/>
      <c r="D476" s="93"/>
      <c r="E476" s="93"/>
      <c r="F476" s="146"/>
    </row>
    <row r="477">
      <c r="A477" s="143"/>
      <c r="B477" s="144"/>
      <c r="C477" s="145"/>
      <c r="D477" s="93"/>
      <c r="E477" s="93"/>
      <c r="F477" s="146"/>
    </row>
    <row r="478">
      <c r="A478" s="143"/>
      <c r="B478" s="144"/>
      <c r="C478" s="145"/>
      <c r="D478" s="93"/>
      <c r="E478" s="93"/>
      <c r="F478" s="146"/>
    </row>
    <row r="479">
      <c r="A479" s="143"/>
      <c r="B479" s="144"/>
      <c r="C479" s="145"/>
      <c r="D479" s="93"/>
      <c r="E479" s="93"/>
      <c r="F479" s="146"/>
    </row>
    <row r="480">
      <c r="A480" s="143"/>
      <c r="B480" s="144"/>
      <c r="C480" s="145"/>
      <c r="D480" s="93"/>
      <c r="E480" s="93"/>
      <c r="F480" s="146"/>
    </row>
    <row r="481">
      <c r="A481" s="143"/>
      <c r="B481" s="144"/>
      <c r="C481" s="145"/>
      <c r="D481" s="93"/>
      <c r="E481" s="93"/>
      <c r="F481" s="146"/>
    </row>
    <row r="482">
      <c r="A482" s="143"/>
      <c r="B482" s="144"/>
      <c r="C482" s="145"/>
      <c r="D482" s="93"/>
      <c r="E482" s="93"/>
      <c r="F482" s="146"/>
    </row>
    <row r="483">
      <c r="A483" s="143"/>
      <c r="B483" s="144"/>
      <c r="C483" s="145"/>
      <c r="D483" s="93"/>
      <c r="E483" s="93"/>
      <c r="F483" s="146"/>
    </row>
    <row r="484">
      <c r="A484" s="143"/>
      <c r="B484" s="144"/>
      <c r="C484" s="145"/>
      <c r="D484" s="93"/>
      <c r="E484" s="93"/>
      <c r="F484" s="146"/>
    </row>
    <row r="485">
      <c r="A485" s="143"/>
      <c r="B485" s="144"/>
      <c r="C485" s="145"/>
      <c r="D485" s="93"/>
      <c r="E485" s="93"/>
      <c r="F485" s="146"/>
    </row>
    <row r="486">
      <c r="A486" s="143"/>
      <c r="B486" s="144"/>
      <c r="C486" s="145"/>
      <c r="D486" s="93"/>
      <c r="E486" s="93"/>
      <c r="F486" s="146"/>
    </row>
    <row r="487">
      <c r="A487" s="143"/>
      <c r="B487" s="144"/>
      <c r="C487" s="145"/>
      <c r="D487" s="93"/>
      <c r="E487" s="93"/>
      <c r="F487" s="146"/>
    </row>
    <row r="488">
      <c r="A488" s="143"/>
      <c r="B488" s="144"/>
      <c r="C488" s="145"/>
      <c r="D488" s="93"/>
      <c r="E488" s="93"/>
      <c r="F488" s="146"/>
    </row>
    <row r="489">
      <c r="A489" s="143"/>
      <c r="B489" s="144"/>
      <c r="C489" s="145"/>
      <c r="D489" s="93"/>
      <c r="E489" s="93"/>
      <c r="F489" s="146"/>
    </row>
    <row r="490">
      <c r="A490" s="143"/>
      <c r="B490" s="144"/>
      <c r="C490" s="145"/>
      <c r="D490" s="93"/>
      <c r="E490" s="93"/>
      <c r="F490" s="146"/>
    </row>
    <row r="491">
      <c r="A491" s="143"/>
      <c r="B491" s="144"/>
      <c r="C491" s="145"/>
      <c r="D491" s="93"/>
      <c r="E491" s="93"/>
      <c r="F491" s="146"/>
    </row>
    <row r="492">
      <c r="A492" s="143"/>
      <c r="B492" s="144"/>
      <c r="C492" s="145"/>
      <c r="D492" s="93"/>
      <c r="E492" s="93"/>
      <c r="F492" s="146"/>
    </row>
    <row r="493">
      <c r="A493" s="143"/>
      <c r="B493" s="144"/>
      <c r="C493" s="145"/>
      <c r="D493" s="93"/>
      <c r="E493" s="93"/>
      <c r="F493" s="146"/>
    </row>
    <row r="494">
      <c r="A494" s="143"/>
      <c r="B494" s="144"/>
      <c r="C494" s="145"/>
      <c r="D494" s="93"/>
      <c r="E494" s="93"/>
      <c r="F494" s="146"/>
    </row>
    <row r="495">
      <c r="A495" s="143"/>
      <c r="B495" s="144"/>
      <c r="C495" s="145"/>
      <c r="D495" s="93"/>
      <c r="E495" s="93"/>
      <c r="F495" s="146"/>
    </row>
    <row r="496">
      <c r="A496" s="143"/>
      <c r="B496" s="144"/>
      <c r="C496" s="145"/>
      <c r="D496" s="93"/>
      <c r="E496" s="93"/>
      <c r="F496" s="146"/>
    </row>
    <row r="497">
      <c r="A497" s="143"/>
      <c r="B497" s="144"/>
      <c r="C497" s="145"/>
      <c r="D497" s="93"/>
      <c r="E497" s="93"/>
      <c r="F497" s="146"/>
    </row>
    <row r="498">
      <c r="A498" s="143"/>
      <c r="B498" s="144"/>
      <c r="C498" s="145"/>
      <c r="D498" s="93"/>
      <c r="E498" s="93"/>
      <c r="F498" s="146"/>
    </row>
    <row r="499">
      <c r="A499" s="143"/>
      <c r="B499" s="144"/>
      <c r="C499" s="145"/>
      <c r="D499" s="93"/>
      <c r="E499" s="93"/>
      <c r="F499" s="146"/>
    </row>
    <row r="500">
      <c r="A500" s="143"/>
      <c r="B500" s="144"/>
      <c r="C500" s="145"/>
      <c r="D500" s="93"/>
      <c r="E500" s="93"/>
      <c r="F500" s="146"/>
    </row>
    <row r="501">
      <c r="A501" s="143"/>
      <c r="B501" s="144"/>
      <c r="C501" s="145"/>
      <c r="D501" s="93"/>
      <c r="E501" s="93"/>
      <c r="F501" s="146"/>
    </row>
    <row r="502">
      <c r="A502" s="143"/>
      <c r="B502" s="144"/>
      <c r="C502" s="145"/>
      <c r="D502" s="93"/>
      <c r="E502" s="93"/>
      <c r="F502" s="146"/>
    </row>
    <row r="503">
      <c r="A503" s="143"/>
      <c r="B503" s="144"/>
      <c r="C503" s="145"/>
      <c r="D503" s="93"/>
      <c r="E503" s="93"/>
      <c r="F503" s="146"/>
    </row>
    <row r="504">
      <c r="A504" s="143"/>
      <c r="B504" s="144"/>
      <c r="C504" s="145"/>
      <c r="D504" s="93"/>
      <c r="E504" s="93"/>
      <c r="F504" s="146"/>
    </row>
    <row r="505">
      <c r="A505" s="143"/>
      <c r="B505" s="144"/>
      <c r="C505" s="145"/>
      <c r="D505" s="93"/>
      <c r="E505" s="93"/>
      <c r="F505" s="146"/>
    </row>
    <row r="506">
      <c r="A506" s="143"/>
      <c r="B506" s="144"/>
      <c r="C506" s="145"/>
      <c r="D506" s="93"/>
      <c r="E506" s="93"/>
      <c r="F506" s="146"/>
    </row>
    <row r="507">
      <c r="A507" s="143"/>
      <c r="B507" s="144"/>
      <c r="C507" s="145"/>
      <c r="D507" s="93"/>
      <c r="E507" s="93"/>
      <c r="F507" s="146"/>
    </row>
    <row r="508">
      <c r="A508" s="143"/>
      <c r="B508" s="144"/>
      <c r="C508" s="145"/>
      <c r="D508" s="93"/>
      <c r="E508" s="93"/>
      <c r="F508" s="146"/>
    </row>
    <row r="509">
      <c r="A509" s="143"/>
      <c r="B509" s="144"/>
      <c r="C509" s="145"/>
      <c r="D509" s="93"/>
      <c r="E509" s="93"/>
      <c r="F509" s="146"/>
    </row>
    <row r="510">
      <c r="A510" s="143"/>
      <c r="B510" s="144"/>
      <c r="C510" s="145"/>
      <c r="D510" s="93"/>
      <c r="E510" s="93"/>
      <c r="F510" s="146"/>
    </row>
    <row r="511">
      <c r="A511" s="143"/>
      <c r="B511" s="144"/>
      <c r="C511" s="145"/>
      <c r="D511" s="93"/>
      <c r="E511" s="93"/>
      <c r="F511" s="146"/>
    </row>
    <row r="512">
      <c r="A512" s="143"/>
      <c r="B512" s="144"/>
      <c r="C512" s="145"/>
      <c r="D512" s="93"/>
      <c r="E512" s="93"/>
      <c r="F512" s="146"/>
    </row>
    <row r="513">
      <c r="A513" s="143"/>
      <c r="B513" s="144"/>
      <c r="C513" s="145"/>
      <c r="D513" s="93"/>
      <c r="E513" s="93"/>
      <c r="F513" s="146"/>
    </row>
    <row r="514">
      <c r="A514" s="143"/>
      <c r="B514" s="144"/>
      <c r="C514" s="145"/>
      <c r="D514" s="93"/>
      <c r="E514" s="93"/>
      <c r="F514" s="146"/>
    </row>
    <row r="515">
      <c r="A515" s="143"/>
      <c r="B515" s="144"/>
      <c r="C515" s="145"/>
      <c r="D515" s="93"/>
      <c r="E515" s="93"/>
      <c r="F515" s="146"/>
    </row>
    <row r="516">
      <c r="A516" s="143"/>
      <c r="B516" s="144"/>
      <c r="C516" s="145"/>
      <c r="D516" s="93"/>
      <c r="E516" s="93"/>
      <c r="F516" s="146"/>
    </row>
    <row r="517">
      <c r="A517" s="143"/>
      <c r="B517" s="144"/>
      <c r="C517" s="145"/>
      <c r="D517" s="93"/>
      <c r="E517" s="93"/>
      <c r="F517" s="146"/>
    </row>
    <row r="518">
      <c r="A518" s="143"/>
      <c r="B518" s="144"/>
      <c r="C518" s="145"/>
      <c r="D518" s="93"/>
      <c r="E518" s="93"/>
      <c r="F518" s="146"/>
    </row>
    <row r="519">
      <c r="A519" s="143"/>
      <c r="B519" s="144"/>
      <c r="C519" s="145"/>
      <c r="D519" s="93"/>
      <c r="E519" s="93"/>
      <c r="F519" s="146"/>
    </row>
    <row r="520">
      <c r="A520" s="143"/>
      <c r="B520" s="144"/>
      <c r="C520" s="145"/>
      <c r="D520" s="93"/>
      <c r="E520" s="93"/>
      <c r="F520" s="146"/>
    </row>
    <row r="521">
      <c r="A521" s="143"/>
      <c r="B521" s="144"/>
      <c r="C521" s="145"/>
      <c r="D521" s="93"/>
      <c r="E521" s="93"/>
      <c r="F521" s="146"/>
    </row>
    <row r="522">
      <c r="A522" s="143"/>
      <c r="B522" s="144"/>
      <c r="C522" s="145"/>
      <c r="D522" s="93"/>
      <c r="E522" s="93"/>
      <c r="F522" s="146"/>
    </row>
    <row r="523">
      <c r="A523" s="143"/>
      <c r="B523" s="144"/>
      <c r="C523" s="145"/>
      <c r="D523" s="93"/>
      <c r="E523" s="93"/>
      <c r="F523" s="146"/>
    </row>
    <row r="524">
      <c r="A524" s="143"/>
      <c r="B524" s="144"/>
      <c r="C524" s="145"/>
      <c r="D524" s="93"/>
      <c r="E524" s="93"/>
      <c r="F524" s="146"/>
    </row>
    <row r="525">
      <c r="A525" s="143"/>
      <c r="B525" s="144"/>
      <c r="C525" s="145"/>
      <c r="D525" s="93"/>
      <c r="E525" s="93"/>
      <c r="F525" s="146"/>
    </row>
    <row r="526">
      <c r="A526" s="143"/>
      <c r="B526" s="144"/>
      <c r="C526" s="145"/>
      <c r="D526" s="93"/>
      <c r="E526" s="93"/>
      <c r="F526" s="146"/>
    </row>
    <row r="527">
      <c r="A527" s="143"/>
      <c r="B527" s="144"/>
      <c r="C527" s="145"/>
      <c r="D527" s="93"/>
      <c r="E527" s="93"/>
      <c r="F527" s="146"/>
    </row>
    <row r="528">
      <c r="A528" s="143"/>
      <c r="B528" s="144"/>
      <c r="C528" s="145"/>
      <c r="D528" s="93"/>
      <c r="E528" s="93"/>
      <c r="F528" s="146"/>
    </row>
    <row r="529">
      <c r="A529" s="143"/>
      <c r="B529" s="144"/>
      <c r="C529" s="145"/>
      <c r="D529" s="93"/>
      <c r="E529" s="93"/>
      <c r="F529" s="146"/>
    </row>
    <row r="530">
      <c r="A530" s="143"/>
      <c r="B530" s="144"/>
      <c r="C530" s="145"/>
      <c r="D530" s="93"/>
      <c r="E530" s="93"/>
      <c r="F530" s="146"/>
    </row>
    <row r="531">
      <c r="A531" s="143"/>
      <c r="B531" s="144"/>
      <c r="C531" s="145"/>
      <c r="D531" s="93"/>
      <c r="E531" s="93"/>
      <c r="F531" s="146"/>
    </row>
    <row r="532">
      <c r="A532" s="143"/>
      <c r="B532" s="144"/>
      <c r="C532" s="145"/>
      <c r="D532" s="93"/>
      <c r="E532" s="93"/>
      <c r="F532" s="146"/>
    </row>
    <row r="533">
      <c r="A533" s="143"/>
      <c r="B533" s="144"/>
      <c r="C533" s="145"/>
      <c r="D533" s="93"/>
      <c r="E533" s="93"/>
      <c r="F533" s="146"/>
    </row>
    <row r="534">
      <c r="A534" s="143"/>
      <c r="B534" s="144"/>
      <c r="C534" s="145"/>
      <c r="D534" s="93"/>
      <c r="E534" s="93"/>
      <c r="F534" s="146"/>
    </row>
    <row r="535">
      <c r="A535" s="143"/>
      <c r="B535" s="144"/>
      <c r="C535" s="145"/>
      <c r="D535" s="93"/>
      <c r="E535" s="93"/>
      <c r="F535" s="146"/>
    </row>
    <row r="536">
      <c r="A536" s="143"/>
      <c r="B536" s="144"/>
      <c r="C536" s="145"/>
      <c r="D536" s="93"/>
      <c r="E536" s="93"/>
      <c r="F536" s="146"/>
    </row>
    <row r="537">
      <c r="A537" s="143"/>
      <c r="B537" s="144"/>
      <c r="C537" s="145"/>
      <c r="D537" s="93"/>
      <c r="E537" s="93"/>
      <c r="F537" s="146"/>
    </row>
    <row r="538">
      <c r="A538" s="143"/>
      <c r="B538" s="144"/>
      <c r="C538" s="145"/>
      <c r="D538" s="93"/>
      <c r="E538" s="93"/>
      <c r="F538" s="146"/>
    </row>
    <row r="539">
      <c r="A539" s="143"/>
      <c r="B539" s="144"/>
      <c r="C539" s="145"/>
      <c r="D539" s="93"/>
      <c r="E539" s="93"/>
      <c r="F539" s="146"/>
    </row>
    <row r="540">
      <c r="A540" s="143"/>
      <c r="B540" s="144"/>
      <c r="C540" s="145"/>
      <c r="D540" s="93"/>
      <c r="E540" s="93"/>
      <c r="F540" s="146"/>
    </row>
    <row r="541">
      <c r="A541" s="143"/>
      <c r="B541" s="144"/>
      <c r="C541" s="145"/>
      <c r="D541" s="93"/>
      <c r="E541" s="93"/>
      <c r="F541" s="146"/>
    </row>
    <row r="542">
      <c r="A542" s="143"/>
      <c r="B542" s="144"/>
      <c r="C542" s="145"/>
      <c r="D542" s="93"/>
      <c r="E542" s="93"/>
      <c r="F542" s="146"/>
    </row>
    <row r="543">
      <c r="A543" s="143"/>
      <c r="B543" s="144"/>
      <c r="C543" s="145"/>
      <c r="D543" s="93"/>
      <c r="E543" s="93"/>
      <c r="F543" s="146"/>
    </row>
    <row r="544">
      <c r="A544" s="143"/>
      <c r="B544" s="144"/>
      <c r="C544" s="145"/>
      <c r="D544" s="93"/>
      <c r="E544" s="93"/>
      <c r="F544" s="146"/>
    </row>
    <row r="545">
      <c r="A545" s="143"/>
      <c r="B545" s="144"/>
      <c r="C545" s="145"/>
      <c r="D545" s="93"/>
      <c r="E545" s="93"/>
      <c r="F545" s="146"/>
    </row>
    <row r="546">
      <c r="A546" s="143"/>
      <c r="B546" s="144"/>
      <c r="C546" s="145"/>
      <c r="D546" s="93"/>
      <c r="E546" s="93"/>
      <c r="F546" s="146"/>
    </row>
    <row r="547">
      <c r="A547" s="143"/>
      <c r="B547" s="144"/>
      <c r="C547" s="145"/>
      <c r="D547" s="93"/>
      <c r="E547" s="93"/>
      <c r="F547" s="146"/>
    </row>
    <row r="548">
      <c r="A548" s="143"/>
      <c r="B548" s="144"/>
      <c r="C548" s="145"/>
      <c r="D548" s="93"/>
      <c r="E548" s="93"/>
      <c r="F548" s="146"/>
    </row>
    <row r="549">
      <c r="A549" s="143"/>
      <c r="B549" s="144"/>
      <c r="C549" s="145"/>
      <c r="D549" s="93"/>
      <c r="E549" s="93"/>
      <c r="F549" s="146"/>
    </row>
    <row r="550">
      <c r="A550" s="143"/>
      <c r="B550" s="144"/>
      <c r="C550" s="145"/>
      <c r="D550" s="93"/>
      <c r="E550" s="93"/>
      <c r="F550" s="146"/>
    </row>
    <row r="551">
      <c r="A551" s="143"/>
      <c r="B551" s="144"/>
      <c r="C551" s="145"/>
      <c r="D551" s="93"/>
      <c r="E551" s="93"/>
      <c r="F551" s="146"/>
    </row>
    <row r="552">
      <c r="A552" s="143"/>
      <c r="B552" s="144"/>
      <c r="C552" s="145"/>
      <c r="D552" s="93"/>
      <c r="E552" s="93"/>
      <c r="F552" s="146"/>
    </row>
    <row r="553">
      <c r="A553" s="143"/>
      <c r="B553" s="144"/>
      <c r="C553" s="145"/>
      <c r="D553" s="93"/>
      <c r="E553" s="93"/>
      <c r="F553" s="146"/>
    </row>
    <row r="554">
      <c r="A554" s="143"/>
      <c r="B554" s="144"/>
      <c r="C554" s="145"/>
      <c r="D554" s="93"/>
      <c r="E554" s="93"/>
      <c r="F554" s="146"/>
    </row>
    <row r="555">
      <c r="A555" s="143"/>
      <c r="B555" s="144"/>
      <c r="C555" s="145"/>
      <c r="D555" s="93"/>
      <c r="E555" s="93"/>
      <c r="F555" s="146"/>
    </row>
    <row r="556">
      <c r="A556" s="143"/>
      <c r="B556" s="144"/>
      <c r="C556" s="145"/>
      <c r="D556" s="93"/>
      <c r="E556" s="93"/>
      <c r="F556" s="146"/>
    </row>
    <row r="557">
      <c r="A557" s="143"/>
      <c r="B557" s="144"/>
      <c r="C557" s="145"/>
      <c r="D557" s="93"/>
      <c r="E557" s="93"/>
      <c r="F557" s="146"/>
    </row>
    <row r="558">
      <c r="A558" s="143"/>
      <c r="B558" s="144"/>
      <c r="C558" s="145"/>
      <c r="D558" s="93"/>
      <c r="E558" s="93"/>
      <c r="F558" s="146"/>
    </row>
    <row r="559">
      <c r="A559" s="143"/>
      <c r="B559" s="144"/>
      <c r="C559" s="145"/>
      <c r="D559" s="93"/>
      <c r="E559" s="93"/>
      <c r="F559" s="146"/>
    </row>
    <row r="560">
      <c r="A560" s="143"/>
      <c r="B560" s="144"/>
      <c r="C560" s="145"/>
      <c r="D560" s="93"/>
      <c r="E560" s="93"/>
      <c r="F560" s="146"/>
    </row>
    <row r="561">
      <c r="A561" s="143"/>
      <c r="B561" s="144"/>
      <c r="C561" s="145"/>
      <c r="D561" s="93"/>
      <c r="E561" s="93"/>
      <c r="F561" s="146"/>
    </row>
    <row r="562">
      <c r="A562" s="143"/>
      <c r="B562" s="144"/>
      <c r="C562" s="145"/>
      <c r="D562" s="93"/>
      <c r="E562" s="93"/>
      <c r="F562" s="146"/>
    </row>
    <row r="563">
      <c r="A563" s="143"/>
      <c r="B563" s="144"/>
      <c r="C563" s="145"/>
      <c r="D563" s="93"/>
      <c r="E563" s="93"/>
      <c r="F563" s="146"/>
    </row>
    <row r="564">
      <c r="A564" s="143"/>
      <c r="B564" s="144"/>
      <c r="C564" s="145"/>
      <c r="D564" s="93"/>
      <c r="E564" s="93"/>
      <c r="F564" s="146"/>
    </row>
    <row r="565">
      <c r="A565" s="143"/>
      <c r="B565" s="144"/>
      <c r="C565" s="145"/>
      <c r="D565" s="93"/>
      <c r="E565" s="93"/>
      <c r="F565" s="146"/>
    </row>
    <row r="566">
      <c r="A566" s="143"/>
      <c r="B566" s="144"/>
      <c r="C566" s="145"/>
      <c r="D566" s="93"/>
      <c r="E566" s="93"/>
      <c r="F566" s="146"/>
    </row>
    <row r="567">
      <c r="A567" s="143"/>
      <c r="B567" s="144"/>
      <c r="C567" s="145"/>
      <c r="D567" s="93"/>
      <c r="E567" s="93"/>
      <c r="F567" s="146"/>
    </row>
    <row r="568">
      <c r="A568" s="143"/>
      <c r="B568" s="144"/>
      <c r="C568" s="145"/>
      <c r="D568" s="93"/>
      <c r="E568" s="93"/>
      <c r="F568" s="146"/>
    </row>
    <row r="569">
      <c r="A569" s="143"/>
      <c r="B569" s="144"/>
      <c r="C569" s="145"/>
      <c r="D569" s="93"/>
      <c r="E569" s="93"/>
      <c r="F569" s="146"/>
    </row>
    <row r="570">
      <c r="A570" s="143"/>
      <c r="B570" s="144"/>
      <c r="C570" s="145"/>
      <c r="D570" s="93"/>
      <c r="E570" s="93"/>
      <c r="F570" s="146"/>
    </row>
    <row r="571">
      <c r="A571" s="143"/>
      <c r="B571" s="144"/>
      <c r="C571" s="145"/>
      <c r="D571" s="93"/>
      <c r="E571" s="93"/>
      <c r="F571" s="146"/>
    </row>
    <row r="572">
      <c r="A572" s="143"/>
      <c r="B572" s="144"/>
      <c r="C572" s="145"/>
      <c r="D572" s="93"/>
      <c r="E572" s="93"/>
      <c r="F572" s="146"/>
    </row>
    <row r="573">
      <c r="A573" s="143"/>
      <c r="B573" s="144"/>
      <c r="C573" s="145"/>
      <c r="D573" s="93"/>
      <c r="E573" s="93"/>
      <c r="F573" s="146"/>
    </row>
    <row r="574">
      <c r="A574" s="143"/>
      <c r="B574" s="144"/>
      <c r="C574" s="145"/>
      <c r="D574" s="93"/>
      <c r="E574" s="93"/>
      <c r="F574" s="146"/>
    </row>
    <row r="575">
      <c r="A575" s="143"/>
      <c r="B575" s="144"/>
      <c r="C575" s="145"/>
      <c r="D575" s="93"/>
      <c r="E575" s="93"/>
      <c r="F575" s="146"/>
    </row>
    <row r="576">
      <c r="A576" s="143"/>
      <c r="B576" s="144"/>
      <c r="C576" s="145"/>
      <c r="D576" s="93"/>
      <c r="E576" s="93"/>
      <c r="F576" s="146"/>
    </row>
    <row r="577">
      <c r="A577" s="143"/>
      <c r="B577" s="144"/>
      <c r="C577" s="145"/>
      <c r="D577" s="93"/>
      <c r="E577" s="93"/>
      <c r="F577" s="146"/>
    </row>
    <row r="578">
      <c r="A578" s="143"/>
      <c r="B578" s="144"/>
      <c r="C578" s="145"/>
      <c r="D578" s="93"/>
      <c r="E578" s="93"/>
      <c r="F578" s="146"/>
    </row>
    <row r="579">
      <c r="A579" s="143"/>
      <c r="B579" s="144"/>
      <c r="C579" s="145"/>
      <c r="D579" s="93"/>
      <c r="E579" s="93"/>
      <c r="F579" s="146"/>
    </row>
    <row r="580">
      <c r="A580" s="143"/>
      <c r="B580" s="144"/>
      <c r="C580" s="145"/>
      <c r="D580" s="93"/>
      <c r="E580" s="93"/>
      <c r="F580" s="146"/>
    </row>
    <row r="581">
      <c r="A581" s="143"/>
      <c r="B581" s="144"/>
      <c r="C581" s="145"/>
      <c r="D581" s="93"/>
      <c r="E581" s="93"/>
      <c r="F581" s="146"/>
    </row>
    <row r="582">
      <c r="A582" s="143"/>
      <c r="B582" s="144"/>
      <c r="C582" s="145"/>
      <c r="D582" s="93"/>
      <c r="E582" s="93"/>
      <c r="F582" s="146"/>
    </row>
    <row r="583">
      <c r="A583" s="143"/>
      <c r="B583" s="144"/>
      <c r="C583" s="145"/>
      <c r="D583" s="93"/>
      <c r="E583" s="93"/>
      <c r="F583" s="146"/>
    </row>
    <row r="584">
      <c r="A584" s="143"/>
      <c r="B584" s="144"/>
      <c r="C584" s="145"/>
      <c r="D584" s="93"/>
      <c r="E584" s="93"/>
      <c r="F584" s="146"/>
    </row>
    <row r="585">
      <c r="A585" s="143"/>
      <c r="B585" s="144"/>
      <c r="C585" s="145"/>
      <c r="D585" s="93"/>
      <c r="E585" s="93"/>
      <c r="F585" s="146"/>
    </row>
    <row r="586">
      <c r="A586" s="143"/>
      <c r="B586" s="144"/>
      <c r="C586" s="145"/>
      <c r="D586" s="93"/>
      <c r="E586" s="93"/>
      <c r="F586" s="146"/>
    </row>
    <row r="587">
      <c r="A587" s="143"/>
      <c r="B587" s="144"/>
      <c r="C587" s="145"/>
      <c r="D587" s="93"/>
      <c r="E587" s="93"/>
      <c r="F587" s="146"/>
    </row>
    <row r="588">
      <c r="A588" s="143"/>
      <c r="B588" s="144"/>
      <c r="C588" s="145"/>
      <c r="D588" s="93"/>
      <c r="E588" s="93"/>
      <c r="F588" s="146"/>
    </row>
    <row r="589">
      <c r="A589" s="143"/>
      <c r="B589" s="144"/>
      <c r="C589" s="145"/>
      <c r="D589" s="93"/>
      <c r="E589" s="93"/>
      <c r="F589" s="146"/>
    </row>
    <row r="590">
      <c r="A590" s="143"/>
      <c r="B590" s="144"/>
      <c r="C590" s="145"/>
      <c r="D590" s="93"/>
      <c r="E590" s="93"/>
      <c r="F590" s="146"/>
    </row>
    <row r="591">
      <c r="A591" s="143"/>
      <c r="B591" s="144"/>
      <c r="C591" s="145"/>
      <c r="D591" s="93"/>
      <c r="E591" s="93"/>
      <c r="F591" s="146"/>
    </row>
    <row r="592">
      <c r="A592" s="143"/>
      <c r="B592" s="144"/>
      <c r="C592" s="145"/>
      <c r="D592" s="93"/>
      <c r="E592" s="93"/>
      <c r="F592" s="146"/>
    </row>
    <row r="593">
      <c r="A593" s="143"/>
      <c r="B593" s="144"/>
      <c r="C593" s="145"/>
      <c r="D593" s="93"/>
      <c r="E593" s="93"/>
      <c r="F593" s="146"/>
    </row>
    <row r="594">
      <c r="A594" s="143"/>
      <c r="B594" s="144"/>
      <c r="C594" s="145"/>
      <c r="D594" s="93"/>
      <c r="E594" s="93"/>
      <c r="F594" s="146"/>
    </row>
    <row r="595">
      <c r="A595" s="143"/>
      <c r="B595" s="144"/>
      <c r="C595" s="145"/>
      <c r="D595" s="93"/>
      <c r="E595" s="93"/>
      <c r="F595" s="146"/>
    </row>
    <row r="596">
      <c r="A596" s="143"/>
      <c r="B596" s="144"/>
      <c r="C596" s="145"/>
      <c r="D596" s="93"/>
      <c r="E596" s="93"/>
      <c r="F596" s="146"/>
    </row>
    <row r="597">
      <c r="A597" s="143"/>
      <c r="B597" s="144"/>
      <c r="C597" s="145"/>
      <c r="D597" s="93"/>
      <c r="E597" s="93"/>
      <c r="F597" s="146"/>
    </row>
    <row r="598">
      <c r="A598" s="143"/>
      <c r="B598" s="144"/>
      <c r="C598" s="145"/>
      <c r="D598" s="93"/>
      <c r="E598" s="93"/>
      <c r="F598" s="146"/>
    </row>
    <row r="599">
      <c r="A599" s="143"/>
      <c r="B599" s="144"/>
      <c r="C599" s="145"/>
      <c r="D599" s="93"/>
      <c r="E599" s="93"/>
      <c r="F599" s="146"/>
    </row>
    <row r="600">
      <c r="A600" s="143"/>
      <c r="B600" s="144"/>
      <c r="C600" s="145"/>
      <c r="D600" s="93"/>
      <c r="E600" s="93"/>
      <c r="F600" s="146"/>
    </row>
    <row r="601">
      <c r="A601" s="143"/>
      <c r="B601" s="144"/>
      <c r="C601" s="145"/>
      <c r="D601" s="93"/>
      <c r="E601" s="93"/>
      <c r="F601" s="146"/>
    </row>
    <row r="602">
      <c r="A602" s="143"/>
      <c r="B602" s="144"/>
      <c r="C602" s="145"/>
      <c r="D602" s="93"/>
      <c r="E602" s="93"/>
      <c r="F602" s="146"/>
    </row>
    <row r="603">
      <c r="A603" s="143"/>
      <c r="B603" s="144"/>
      <c r="C603" s="145"/>
      <c r="D603" s="93"/>
      <c r="E603" s="93"/>
      <c r="F603" s="146"/>
    </row>
    <row r="604">
      <c r="A604" s="143"/>
      <c r="B604" s="144"/>
      <c r="C604" s="145"/>
      <c r="D604" s="93"/>
      <c r="E604" s="93"/>
      <c r="F604" s="146"/>
    </row>
    <row r="605">
      <c r="A605" s="143"/>
      <c r="B605" s="144"/>
      <c r="C605" s="145"/>
      <c r="D605" s="93"/>
      <c r="E605" s="93"/>
      <c r="F605" s="146"/>
    </row>
    <row r="606">
      <c r="A606" s="143"/>
      <c r="B606" s="144"/>
      <c r="C606" s="145"/>
      <c r="D606" s="93"/>
      <c r="E606" s="93"/>
      <c r="F606" s="146"/>
    </row>
    <row r="607">
      <c r="A607" s="143"/>
      <c r="B607" s="144"/>
      <c r="C607" s="145"/>
      <c r="D607" s="93"/>
      <c r="E607" s="93"/>
      <c r="F607" s="146"/>
    </row>
    <row r="608">
      <c r="A608" s="143"/>
      <c r="B608" s="144"/>
      <c r="C608" s="145"/>
      <c r="D608" s="93"/>
      <c r="E608" s="93"/>
      <c r="F608" s="146"/>
    </row>
    <row r="609">
      <c r="A609" s="143"/>
      <c r="B609" s="144"/>
      <c r="C609" s="145"/>
      <c r="D609" s="93"/>
      <c r="E609" s="93"/>
      <c r="F609" s="146"/>
    </row>
    <row r="610">
      <c r="A610" s="143"/>
      <c r="B610" s="144"/>
      <c r="C610" s="145"/>
      <c r="D610" s="93"/>
      <c r="E610" s="93"/>
      <c r="F610" s="146"/>
    </row>
    <row r="611">
      <c r="A611" s="143"/>
      <c r="B611" s="144"/>
      <c r="C611" s="145"/>
      <c r="D611" s="93"/>
      <c r="E611" s="93"/>
      <c r="F611" s="146"/>
    </row>
    <row r="612">
      <c r="A612" s="143"/>
      <c r="B612" s="144"/>
      <c r="C612" s="145"/>
      <c r="D612" s="93"/>
      <c r="E612" s="93"/>
      <c r="F612" s="146"/>
    </row>
    <row r="613">
      <c r="A613" s="143"/>
      <c r="B613" s="144"/>
      <c r="C613" s="145"/>
      <c r="D613" s="93"/>
      <c r="E613" s="93"/>
      <c r="F613" s="146"/>
    </row>
    <row r="614">
      <c r="A614" s="143"/>
      <c r="B614" s="144"/>
      <c r="C614" s="145"/>
      <c r="D614" s="93"/>
      <c r="E614" s="93"/>
      <c r="F614" s="146"/>
    </row>
    <row r="615">
      <c r="A615" s="143"/>
      <c r="B615" s="144"/>
      <c r="C615" s="145"/>
      <c r="D615" s="93"/>
      <c r="E615" s="93"/>
      <c r="F615" s="146"/>
    </row>
    <row r="616">
      <c r="A616" s="143"/>
      <c r="B616" s="144"/>
      <c r="C616" s="145"/>
      <c r="D616" s="93"/>
      <c r="E616" s="93"/>
      <c r="F616" s="146"/>
    </row>
    <row r="617">
      <c r="A617" s="143"/>
      <c r="B617" s="144"/>
      <c r="C617" s="145"/>
      <c r="D617" s="93"/>
      <c r="E617" s="93"/>
      <c r="F617" s="146"/>
    </row>
    <row r="618">
      <c r="A618" s="143"/>
      <c r="B618" s="144"/>
      <c r="C618" s="145"/>
      <c r="D618" s="93"/>
      <c r="E618" s="93"/>
      <c r="F618" s="146"/>
    </row>
    <row r="619">
      <c r="A619" s="143"/>
      <c r="B619" s="144"/>
      <c r="C619" s="145"/>
      <c r="D619" s="93"/>
      <c r="E619" s="93"/>
      <c r="F619" s="146"/>
    </row>
    <row r="620">
      <c r="A620" s="143"/>
      <c r="B620" s="144"/>
      <c r="C620" s="145"/>
      <c r="D620" s="93"/>
      <c r="E620" s="93"/>
      <c r="F620" s="146"/>
    </row>
    <row r="621">
      <c r="A621" s="143"/>
      <c r="B621" s="144"/>
      <c r="C621" s="145"/>
      <c r="D621" s="93"/>
      <c r="E621" s="93"/>
      <c r="F621" s="146"/>
    </row>
    <row r="622">
      <c r="A622" s="143"/>
      <c r="B622" s="144"/>
      <c r="C622" s="145"/>
      <c r="D622" s="93"/>
      <c r="E622" s="93"/>
      <c r="F622" s="146"/>
    </row>
    <row r="623">
      <c r="A623" s="143"/>
      <c r="B623" s="144"/>
      <c r="C623" s="145"/>
      <c r="D623" s="93"/>
      <c r="E623" s="93"/>
      <c r="F623" s="146"/>
    </row>
    <row r="624">
      <c r="A624" s="143"/>
      <c r="B624" s="144"/>
      <c r="C624" s="145"/>
      <c r="D624" s="93"/>
      <c r="E624" s="93"/>
      <c r="F624" s="146"/>
    </row>
    <row r="625">
      <c r="A625" s="143"/>
      <c r="B625" s="144"/>
      <c r="C625" s="145"/>
      <c r="D625" s="93"/>
      <c r="E625" s="93"/>
      <c r="F625" s="146"/>
    </row>
    <row r="626">
      <c r="A626" s="143"/>
      <c r="B626" s="144"/>
      <c r="C626" s="145"/>
      <c r="D626" s="93"/>
      <c r="E626" s="93"/>
      <c r="F626" s="146"/>
    </row>
    <row r="627">
      <c r="A627" s="143"/>
      <c r="B627" s="144"/>
      <c r="C627" s="145"/>
      <c r="D627" s="93"/>
      <c r="E627" s="93"/>
      <c r="F627" s="146"/>
    </row>
    <row r="628">
      <c r="A628" s="143"/>
      <c r="B628" s="144"/>
      <c r="C628" s="145"/>
      <c r="D628" s="93"/>
      <c r="E628" s="93"/>
      <c r="F628" s="146"/>
    </row>
    <row r="629">
      <c r="A629" s="143"/>
      <c r="B629" s="144"/>
      <c r="C629" s="145"/>
      <c r="D629" s="93"/>
      <c r="E629" s="93"/>
      <c r="F629" s="146"/>
    </row>
    <row r="630">
      <c r="A630" s="143"/>
      <c r="B630" s="144"/>
      <c r="C630" s="145"/>
      <c r="D630" s="93"/>
      <c r="E630" s="93"/>
      <c r="F630" s="146"/>
    </row>
    <row r="631">
      <c r="A631" s="143"/>
      <c r="B631" s="144"/>
      <c r="C631" s="145"/>
      <c r="D631" s="93"/>
      <c r="E631" s="93"/>
      <c r="F631" s="146"/>
    </row>
    <row r="632">
      <c r="A632" s="143"/>
      <c r="B632" s="144"/>
      <c r="C632" s="145"/>
      <c r="D632" s="93"/>
      <c r="E632" s="93"/>
      <c r="F632" s="146"/>
    </row>
    <row r="633">
      <c r="A633" s="143"/>
      <c r="B633" s="144"/>
      <c r="C633" s="145"/>
      <c r="D633" s="93"/>
      <c r="E633" s="93"/>
      <c r="F633" s="146"/>
    </row>
    <row r="634">
      <c r="A634" s="143"/>
      <c r="B634" s="144"/>
      <c r="C634" s="145"/>
      <c r="D634" s="93"/>
      <c r="E634" s="93"/>
      <c r="F634" s="146"/>
    </row>
    <row r="635">
      <c r="A635" s="143"/>
      <c r="B635" s="144"/>
      <c r="C635" s="145"/>
      <c r="D635" s="93"/>
      <c r="E635" s="93"/>
      <c r="F635" s="146"/>
    </row>
    <row r="636">
      <c r="A636" s="143"/>
      <c r="B636" s="144"/>
      <c r="C636" s="145"/>
      <c r="D636" s="93"/>
      <c r="E636" s="93"/>
      <c r="F636" s="146"/>
    </row>
    <row r="637">
      <c r="A637" s="143"/>
      <c r="B637" s="144"/>
      <c r="C637" s="145"/>
      <c r="D637" s="93"/>
      <c r="E637" s="93"/>
      <c r="F637" s="146"/>
    </row>
    <row r="638">
      <c r="A638" s="143"/>
      <c r="B638" s="144"/>
      <c r="C638" s="145"/>
      <c r="D638" s="93"/>
      <c r="E638" s="93"/>
      <c r="F638" s="146"/>
    </row>
    <row r="639">
      <c r="A639" s="143"/>
      <c r="B639" s="144"/>
      <c r="C639" s="145"/>
      <c r="D639" s="93"/>
      <c r="E639" s="93"/>
      <c r="F639" s="146"/>
    </row>
    <row r="640">
      <c r="A640" s="143"/>
      <c r="B640" s="144"/>
      <c r="C640" s="145"/>
      <c r="D640" s="93"/>
      <c r="E640" s="93"/>
      <c r="F640" s="146"/>
    </row>
    <row r="641">
      <c r="A641" s="143"/>
      <c r="B641" s="144"/>
      <c r="C641" s="145"/>
      <c r="D641" s="93"/>
      <c r="E641" s="93"/>
      <c r="F641" s="146"/>
    </row>
    <row r="642">
      <c r="A642" s="143"/>
      <c r="B642" s="144"/>
      <c r="C642" s="145"/>
      <c r="D642" s="93"/>
      <c r="E642" s="93"/>
      <c r="F642" s="146"/>
    </row>
    <row r="643">
      <c r="A643" s="143"/>
      <c r="B643" s="144"/>
      <c r="C643" s="145"/>
      <c r="D643" s="93"/>
      <c r="E643" s="93"/>
      <c r="F643" s="146"/>
    </row>
    <row r="644">
      <c r="A644" s="143"/>
      <c r="B644" s="144"/>
      <c r="C644" s="145"/>
      <c r="D644" s="93"/>
      <c r="E644" s="93"/>
      <c r="F644" s="146"/>
    </row>
    <row r="645">
      <c r="A645" s="143"/>
      <c r="B645" s="144"/>
      <c r="C645" s="145"/>
      <c r="D645" s="93"/>
      <c r="E645" s="93"/>
      <c r="F645" s="146"/>
    </row>
    <row r="646">
      <c r="A646" s="143"/>
      <c r="B646" s="144"/>
      <c r="C646" s="145"/>
      <c r="D646" s="93"/>
      <c r="E646" s="93"/>
      <c r="F646" s="146"/>
    </row>
    <row r="647">
      <c r="A647" s="143"/>
      <c r="B647" s="144"/>
      <c r="C647" s="145"/>
      <c r="D647" s="93"/>
      <c r="E647" s="93"/>
      <c r="F647" s="146"/>
    </row>
    <row r="648">
      <c r="A648" s="143"/>
      <c r="B648" s="144"/>
      <c r="C648" s="145"/>
      <c r="D648" s="93"/>
      <c r="E648" s="93"/>
      <c r="F648" s="146"/>
    </row>
    <row r="649">
      <c r="A649" s="143"/>
      <c r="B649" s="144"/>
      <c r="C649" s="145"/>
      <c r="D649" s="93"/>
      <c r="E649" s="93"/>
      <c r="F649" s="146"/>
    </row>
    <row r="650">
      <c r="A650" s="143"/>
      <c r="B650" s="144"/>
      <c r="C650" s="145"/>
      <c r="D650" s="93"/>
      <c r="E650" s="93"/>
      <c r="F650" s="146"/>
    </row>
    <row r="651">
      <c r="A651" s="143"/>
      <c r="B651" s="144"/>
      <c r="C651" s="145"/>
      <c r="D651" s="93"/>
      <c r="E651" s="93"/>
      <c r="F651" s="146"/>
    </row>
    <row r="652">
      <c r="A652" s="143"/>
      <c r="B652" s="144"/>
      <c r="C652" s="145"/>
      <c r="D652" s="93"/>
      <c r="E652" s="93"/>
      <c r="F652" s="146"/>
    </row>
    <row r="653">
      <c r="A653" s="143"/>
      <c r="B653" s="144"/>
      <c r="C653" s="145"/>
      <c r="D653" s="93"/>
      <c r="E653" s="93"/>
      <c r="F653" s="146"/>
    </row>
    <row r="654">
      <c r="A654" s="143"/>
      <c r="B654" s="144"/>
      <c r="C654" s="145"/>
      <c r="D654" s="93"/>
      <c r="E654" s="93"/>
      <c r="F654" s="146"/>
    </row>
    <row r="655">
      <c r="A655" s="143"/>
      <c r="B655" s="144"/>
      <c r="C655" s="145"/>
      <c r="D655" s="93"/>
      <c r="E655" s="93"/>
      <c r="F655" s="146"/>
    </row>
    <row r="656">
      <c r="A656" s="143"/>
      <c r="B656" s="144"/>
      <c r="C656" s="145"/>
      <c r="D656" s="93"/>
      <c r="E656" s="93"/>
      <c r="F656" s="146"/>
    </row>
    <row r="657">
      <c r="A657" s="143"/>
      <c r="B657" s="144"/>
      <c r="C657" s="145"/>
      <c r="D657" s="93"/>
      <c r="E657" s="93"/>
      <c r="F657" s="146"/>
    </row>
    <row r="658">
      <c r="A658" s="143"/>
      <c r="B658" s="144"/>
      <c r="C658" s="145"/>
      <c r="D658" s="93"/>
      <c r="E658" s="93"/>
      <c r="F658" s="146"/>
    </row>
    <row r="659">
      <c r="A659" s="143"/>
      <c r="B659" s="144"/>
      <c r="C659" s="145"/>
      <c r="D659" s="93"/>
      <c r="E659" s="93"/>
      <c r="F659" s="146"/>
    </row>
    <row r="660">
      <c r="A660" s="143"/>
      <c r="B660" s="144"/>
      <c r="C660" s="145"/>
      <c r="D660" s="93"/>
      <c r="E660" s="93"/>
      <c r="F660" s="146"/>
    </row>
    <row r="661">
      <c r="A661" s="143"/>
      <c r="B661" s="144"/>
      <c r="C661" s="145"/>
      <c r="D661" s="93"/>
      <c r="E661" s="93"/>
      <c r="F661" s="146"/>
    </row>
    <row r="662">
      <c r="A662" s="143"/>
      <c r="B662" s="144"/>
      <c r="C662" s="145"/>
      <c r="D662" s="93"/>
      <c r="E662" s="93"/>
      <c r="F662" s="146"/>
    </row>
    <row r="663">
      <c r="A663" s="143"/>
      <c r="B663" s="144"/>
      <c r="C663" s="145"/>
      <c r="D663" s="93"/>
      <c r="E663" s="93"/>
      <c r="F663" s="146"/>
    </row>
    <row r="664">
      <c r="A664" s="143"/>
      <c r="B664" s="144"/>
      <c r="C664" s="145"/>
      <c r="D664" s="93"/>
      <c r="E664" s="93"/>
      <c r="F664" s="146"/>
    </row>
    <row r="665">
      <c r="A665" s="143"/>
      <c r="B665" s="144"/>
      <c r="C665" s="145"/>
      <c r="D665" s="93"/>
      <c r="E665" s="93"/>
      <c r="F665" s="146"/>
    </row>
    <row r="666">
      <c r="A666" s="143"/>
      <c r="B666" s="144"/>
      <c r="C666" s="145"/>
      <c r="D666" s="93"/>
      <c r="E666" s="93"/>
      <c r="F666" s="146"/>
    </row>
    <row r="667">
      <c r="A667" s="143"/>
      <c r="B667" s="144"/>
      <c r="C667" s="145"/>
      <c r="D667" s="93"/>
      <c r="E667" s="93"/>
      <c r="F667" s="146"/>
    </row>
    <row r="668">
      <c r="A668" s="143"/>
      <c r="B668" s="144"/>
      <c r="C668" s="145"/>
      <c r="D668" s="93"/>
      <c r="E668" s="93"/>
      <c r="F668" s="146"/>
    </row>
    <row r="669">
      <c r="A669" s="143"/>
      <c r="B669" s="144"/>
      <c r="C669" s="145"/>
      <c r="D669" s="93"/>
      <c r="E669" s="93"/>
      <c r="F669" s="146"/>
    </row>
    <row r="670">
      <c r="A670" s="143"/>
      <c r="B670" s="144"/>
      <c r="C670" s="145"/>
      <c r="D670" s="93"/>
      <c r="E670" s="93"/>
      <c r="F670" s="146"/>
    </row>
    <row r="671">
      <c r="A671" s="143"/>
      <c r="B671" s="144"/>
      <c r="C671" s="145"/>
      <c r="D671" s="93"/>
      <c r="E671" s="93"/>
      <c r="F671" s="146"/>
    </row>
    <row r="672">
      <c r="A672" s="143"/>
      <c r="B672" s="144"/>
      <c r="C672" s="145"/>
      <c r="D672" s="93"/>
      <c r="E672" s="93"/>
      <c r="F672" s="146"/>
    </row>
    <row r="673">
      <c r="A673" s="143"/>
      <c r="B673" s="144"/>
      <c r="C673" s="145"/>
      <c r="D673" s="93"/>
      <c r="E673" s="93"/>
      <c r="F673" s="146"/>
    </row>
    <row r="674">
      <c r="A674" s="143"/>
      <c r="B674" s="144"/>
      <c r="C674" s="145"/>
      <c r="D674" s="93"/>
      <c r="E674" s="93"/>
      <c r="F674" s="146"/>
    </row>
    <row r="675">
      <c r="A675" s="143"/>
      <c r="B675" s="144"/>
      <c r="C675" s="145"/>
      <c r="D675" s="93"/>
      <c r="E675" s="93"/>
      <c r="F675" s="146"/>
    </row>
    <row r="676">
      <c r="A676" s="143"/>
      <c r="B676" s="144"/>
      <c r="C676" s="145"/>
      <c r="D676" s="93"/>
      <c r="E676" s="93"/>
      <c r="F676" s="146"/>
    </row>
    <row r="677">
      <c r="A677" s="143"/>
      <c r="B677" s="144"/>
      <c r="C677" s="145"/>
      <c r="D677" s="93"/>
      <c r="E677" s="93"/>
      <c r="F677" s="146"/>
    </row>
    <row r="678">
      <c r="A678" s="143"/>
      <c r="B678" s="144"/>
      <c r="C678" s="145"/>
      <c r="D678" s="93"/>
      <c r="E678" s="93"/>
      <c r="F678" s="146"/>
    </row>
    <row r="679">
      <c r="A679" s="143"/>
      <c r="B679" s="144"/>
      <c r="C679" s="145"/>
      <c r="D679" s="93"/>
      <c r="E679" s="93"/>
      <c r="F679" s="146"/>
    </row>
    <row r="680">
      <c r="A680" s="143"/>
      <c r="B680" s="144"/>
      <c r="C680" s="145"/>
      <c r="D680" s="93"/>
      <c r="E680" s="93"/>
      <c r="F680" s="146"/>
    </row>
    <row r="681">
      <c r="A681" s="143"/>
      <c r="B681" s="144"/>
      <c r="C681" s="145"/>
      <c r="D681" s="93"/>
      <c r="E681" s="93"/>
      <c r="F681" s="146"/>
    </row>
    <row r="682">
      <c r="A682" s="143"/>
      <c r="B682" s="144"/>
      <c r="C682" s="145"/>
      <c r="D682" s="93"/>
      <c r="E682" s="93"/>
      <c r="F682" s="146"/>
    </row>
    <row r="683">
      <c r="A683" s="143"/>
      <c r="B683" s="144"/>
      <c r="C683" s="145"/>
      <c r="D683" s="93"/>
      <c r="E683" s="93"/>
      <c r="F683" s="146"/>
    </row>
    <row r="684">
      <c r="A684" s="143"/>
      <c r="B684" s="144"/>
      <c r="C684" s="145"/>
      <c r="D684" s="93"/>
      <c r="E684" s="93"/>
      <c r="F684" s="146"/>
    </row>
    <row r="685">
      <c r="A685" s="143"/>
      <c r="B685" s="144"/>
      <c r="C685" s="145"/>
      <c r="D685" s="93"/>
      <c r="E685" s="93"/>
      <c r="F685" s="146"/>
    </row>
    <row r="686">
      <c r="A686" s="143"/>
      <c r="B686" s="144"/>
      <c r="C686" s="145"/>
      <c r="D686" s="93"/>
      <c r="E686" s="93"/>
      <c r="F686" s="146"/>
    </row>
    <row r="687">
      <c r="A687" s="143"/>
      <c r="B687" s="144"/>
      <c r="C687" s="145"/>
      <c r="D687" s="93"/>
      <c r="E687" s="93"/>
      <c r="F687" s="146"/>
    </row>
    <row r="688">
      <c r="A688" s="143"/>
      <c r="B688" s="144"/>
      <c r="C688" s="145"/>
      <c r="D688" s="93"/>
      <c r="E688" s="93"/>
      <c r="F688" s="146"/>
    </row>
    <row r="689">
      <c r="A689" s="143"/>
      <c r="B689" s="144"/>
      <c r="C689" s="145"/>
      <c r="D689" s="93"/>
      <c r="E689" s="93"/>
      <c r="F689" s="146"/>
    </row>
    <row r="690">
      <c r="A690" s="143"/>
      <c r="B690" s="144"/>
      <c r="C690" s="145"/>
      <c r="D690" s="93"/>
      <c r="E690" s="93"/>
      <c r="F690" s="146"/>
    </row>
    <row r="691">
      <c r="A691" s="143"/>
      <c r="B691" s="144"/>
      <c r="C691" s="145"/>
      <c r="D691" s="93"/>
      <c r="E691" s="93"/>
      <c r="F691" s="146"/>
    </row>
    <row r="692">
      <c r="A692" s="143"/>
      <c r="B692" s="144"/>
      <c r="C692" s="145"/>
      <c r="D692" s="93"/>
      <c r="E692" s="93"/>
      <c r="F692" s="146"/>
    </row>
    <row r="693">
      <c r="A693" s="143"/>
      <c r="B693" s="144"/>
      <c r="C693" s="145"/>
      <c r="D693" s="93"/>
      <c r="E693" s="93"/>
      <c r="F693" s="146"/>
    </row>
    <row r="694">
      <c r="A694" s="143"/>
      <c r="B694" s="144"/>
      <c r="C694" s="145"/>
      <c r="D694" s="93"/>
      <c r="E694" s="93"/>
      <c r="F694" s="146"/>
    </row>
    <row r="695">
      <c r="A695" s="143"/>
      <c r="B695" s="144"/>
      <c r="C695" s="145"/>
      <c r="D695" s="93"/>
      <c r="E695" s="93"/>
      <c r="F695" s="146"/>
    </row>
    <row r="696">
      <c r="A696" s="143"/>
      <c r="B696" s="144"/>
      <c r="C696" s="145"/>
      <c r="D696" s="93"/>
      <c r="E696" s="93"/>
      <c r="F696" s="146"/>
    </row>
    <row r="697">
      <c r="A697" s="143"/>
      <c r="B697" s="144"/>
      <c r="C697" s="145"/>
      <c r="D697" s="93"/>
      <c r="E697" s="93"/>
      <c r="F697" s="146"/>
    </row>
    <row r="698">
      <c r="A698" s="143"/>
      <c r="B698" s="144"/>
      <c r="C698" s="145"/>
      <c r="D698" s="93"/>
      <c r="E698" s="93"/>
      <c r="F698" s="146"/>
    </row>
    <row r="699">
      <c r="A699" s="143"/>
      <c r="B699" s="144"/>
      <c r="C699" s="145"/>
      <c r="D699" s="93"/>
      <c r="E699" s="93"/>
      <c r="F699" s="146"/>
    </row>
    <row r="700">
      <c r="A700" s="143"/>
      <c r="B700" s="144"/>
      <c r="C700" s="145"/>
      <c r="D700" s="93"/>
      <c r="E700" s="93"/>
      <c r="F700" s="146"/>
    </row>
    <row r="701">
      <c r="A701" s="143"/>
      <c r="B701" s="144"/>
      <c r="C701" s="145"/>
      <c r="D701" s="93"/>
      <c r="E701" s="93"/>
      <c r="F701" s="146"/>
    </row>
    <row r="702">
      <c r="A702" s="143"/>
      <c r="B702" s="144"/>
      <c r="C702" s="145"/>
      <c r="D702" s="93"/>
      <c r="E702" s="93"/>
      <c r="F702" s="146"/>
    </row>
    <row r="703">
      <c r="A703" s="143"/>
      <c r="B703" s="144"/>
      <c r="C703" s="145"/>
      <c r="D703" s="93"/>
      <c r="E703" s="93"/>
      <c r="F703" s="146"/>
    </row>
    <row r="704">
      <c r="A704" s="143"/>
      <c r="B704" s="144"/>
      <c r="C704" s="145"/>
      <c r="D704" s="93"/>
      <c r="E704" s="93"/>
      <c r="F704" s="146"/>
    </row>
    <row r="705">
      <c r="A705" s="143"/>
      <c r="B705" s="144"/>
      <c r="C705" s="145"/>
      <c r="D705" s="93"/>
      <c r="E705" s="93"/>
      <c r="F705" s="146"/>
    </row>
    <row r="706">
      <c r="A706" s="143"/>
      <c r="B706" s="144"/>
      <c r="C706" s="145"/>
      <c r="D706" s="93"/>
      <c r="E706" s="93"/>
      <c r="F706" s="146"/>
    </row>
    <row r="707">
      <c r="A707" s="143"/>
      <c r="B707" s="144"/>
      <c r="C707" s="145"/>
      <c r="D707" s="93"/>
      <c r="E707" s="93"/>
      <c r="F707" s="146"/>
    </row>
    <row r="708">
      <c r="A708" s="143"/>
      <c r="B708" s="144"/>
      <c r="C708" s="145"/>
      <c r="D708" s="93"/>
      <c r="E708" s="93"/>
      <c r="F708" s="146"/>
    </row>
    <row r="709">
      <c r="A709" s="143"/>
      <c r="B709" s="144"/>
      <c r="C709" s="145"/>
      <c r="D709" s="93"/>
      <c r="E709" s="93"/>
      <c r="F709" s="146"/>
    </row>
    <row r="710">
      <c r="A710" s="143"/>
      <c r="B710" s="144"/>
      <c r="C710" s="145"/>
      <c r="D710" s="93"/>
      <c r="E710" s="93"/>
      <c r="F710" s="146"/>
    </row>
    <row r="711">
      <c r="A711" s="143"/>
      <c r="B711" s="144"/>
      <c r="C711" s="145"/>
      <c r="D711" s="93"/>
      <c r="E711" s="93"/>
      <c r="F711" s="146"/>
    </row>
    <row r="712">
      <c r="A712" s="143"/>
      <c r="B712" s="144"/>
      <c r="C712" s="145"/>
      <c r="D712" s="93"/>
      <c r="E712" s="93"/>
      <c r="F712" s="146"/>
    </row>
    <row r="713">
      <c r="A713" s="143"/>
      <c r="B713" s="144"/>
      <c r="C713" s="145"/>
      <c r="D713" s="93"/>
      <c r="E713" s="93"/>
      <c r="F713" s="146"/>
    </row>
    <row r="714">
      <c r="A714" s="143"/>
      <c r="B714" s="144"/>
      <c r="C714" s="145"/>
      <c r="D714" s="93"/>
      <c r="E714" s="93"/>
      <c r="F714" s="146"/>
    </row>
    <row r="715">
      <c r="A715" s="143"/>
      <c r="B715" s="144"/>
      <c r="C715" s="145"/>
      <c r="D715" s="93"/>
      <c r="E715" s="93"/>
      <c r="F715" s="146"/>
    </row>
    <row r="716">
      <c r="A716" s="143"/>
      <c r="B716" s="144"/>
      <c r="C716" s="145"/>
      <c r="D716" s="93"/>
      <c r="E716" s="93"/>
      <c r="F716" s="146"/>
    </row>
    <row r="717">
      <c r="A717" s="143"/>
      <c r="B717" s="144"/>
      <c r="C717" s="145"/>
      <c r="D717" s="93"/>
      <c r="E717" s="93"/>
      <c r="F717" s="146"/>
    </row>
    <row r="718">
      <c r="A718" s="143"/>
      <c r="B718" s="144"/>
      <c r="C718" s="145"/>
      <c r="D718" s="93"/>
      <c r="E718" s="93"/>
      <c r="F718" s="146"/>
    </row>
    <row r="719">
      <c r="A719" s="143"/>
      <c r="B719" s="144"/>
      <c r="C719" s="145"/>
      <c r="D719" s="93"/>
      <c r="E719" s="93"/>
      <c r="F719" s="146"/>
    </row>
    <row r="720">
      <c r="A720" s="143"/>
      <c r="B720" s="144"/>
      <c r="C720" s="145"/>
      <c r="D720" s="93"/>
      <c r="E720" s="93"/>
      <c r="F720" s="146"/>
    </row>
    <row r="721">
      <c r="A721" s="143"/>
      <c r="B721" s="144"/>
      <c r="C721" s="145"/>
      <c r="D721" s="93"/>
      <c r="E721" s="93"/>
      <c r="F721" s="146"/>
    </row>
    <row r="722">
      <c r="A722" s="143"/>
      <c r="B722" s="144"/>
      <c r="C722" s="145"/>
      <c r="D722" s="93"/>
      <c r="E722" s="93"/>
      <c r="F722" s="146"/>
    </row>
    <row r="723">
      <c r="A723" s="143"/>
      <c r="B723" s="144"/>
      <c r="C723" s="145"/>
      <c r="D723" s="93"/>
      <c r="E723" s="93"/>
      <c r="F723" s="146"/>
    </row>
    <row r="724">
      <c r="A724" s="143"/>
      <c r="B724" s="144"/>
      <c r="C724" s="145"/>
      <c r="D724" s="93"/>
      <c r="E724" s="93"/>
      <c r="F724" s="146"/>
    </row>
    <row r="725">
      <c r="A725" s="143"/>
      <c r="B725" s="144"/>
      <c r="C725" s="145"/>
      <c r="D725" s="93"/>
      <c r="E725" s="93"/>
      <c r="F725" s="146"/>
    </row>
    <row r="726">
      <c r="A726" s="143"/>
      <c r="B726" s="144"/>
      <c r="C726" s="145"/>
      <c r="D726" s="93"/>
      <c r="E726" s="93"/>
      <c r="F726" s="146"/>
    </row>
    <row r="727">
      <c r="A727" s="143"/>
      <c r="B727" s="144"/>
      <c r="C727" s="145"/>
      <c r="D727" s="93"/>
      <c r="E727" s="93"/>
      <c r="F727" s="146"/>
    </row>
    <row r="728">
      <c r="A728" s="143"/>
      <c r="B728" s="144"/>
      <c r="C728" s="145"/>
      <c r="D728" s="93"/>
      <c r="E728" s="93"/>
      <c r="F728" s="146"/>
    </row>
    <row r="729">
      <c r="A729" s="143"/>
      <c r="B729" s="144"/>
      <c r="C729" s="145"/>
      <c r="D729" s="93"/>
      <c r="E729" s="93"/>
      <c r="F729" s="146"/>
    </row>
    <row r="730">
      <c r="A730" s="143"/>
      <c r="B730" s="144"/>
      <c r="C730" s="145"/>
      <c r="D730" s="93"/>
      <c r="E730" s="93"/>
      <c r="F730" s="146"/>
    </row>
    <row r="731">
      <c r="A731" s="143"/>
      <c r="B731" s="144"/>
      <c r="C731" s="145"/>
      <c r="D731" s="93"/>
      <c r="E731" s="93"/>
      <c r="F731" s="146"/>
    </row>
    <row r="732">
      <c r="A732" s="143"/>
      <c r="B732" s="144"/>
      <c r="C732" s="145"/>
      <c r="D732" s="93"/>
      <c r="E732" s="93"/>
      <c r="F732" s="146"/>
    </row>
    <row r="733">
      <c r="A733" s="143"/>
      <c r="B733" s="144"/>
      <c r="C733" s="145"/>
      <c r="D733" s="93"/>
      <c r="E733" s="93"/>
      <c r="F733" s="146"/>
    </row>
    <row r="734">
      <c r="A734" s="143"/>
      <c r="B734" s="144"/>
      <c r="C734" s="145"/>
      <c r="D734" s="93"/>
      <c r="E734" s="93"/>
      <c r="F734" s="146"/>
    </row>
    <row r="735">
      <c r="A735" s="143"/>
      <c r="B735" s="144"/>
      <c r="C735" s="145"/>
      <c r="D735" s="93"/>
      <c r="E735" s="93"/>
      <c r="F735" s="146"/>
    </row>
    <row r="736">
      <c r="A736" s="143"/>
      <c r="B736" s="144"/>
      <c r="C736" s="145"/>
      <c r="D736" s="93"/>
      <c r="E736" s="93"/>
      <c r="F736" s="146"/>
    </row>
    <row r="737">
      <c r="A737" s="143"/>
      <c r="B737" s="144"/>
      <c r="C737" s="145"/>
      <c r="D737" s="93"/>
      <c r="E737" s="93"/>
      <c r="F737" s="146"/>
    </row>
    <row r="738">
      <c r="A738" s="143"/>
      <c r="B738" s="144"/>
      <c r="C738" s="145"/>
      <c r="D738" s="93"/>
      <c r="E738" s="93"/>
      <c r="F738" s="146"/>
    </row>
    <row r="739">
      <c r="A739" s="143"/>
      <c r="B739" s="144"/>
      <c r="C739" s="145"/>
      <c r="D739" s="93"/>
      <c r="E739" s="93"/>
      <c r="F739" s="146"/>
    </row>
    <row r="740">
      <c r="A740" s="143"/>
      <c r="B740" s="144"/>
      <c r="C740" s="145"/>
      <c r="D740" s="93"/>
      <c r="E740" s="93"/>
      <c r="F740" s="146"/>
    </row>
    <row r="741">
      <c r="A741" s="143"/>
      <c r="B741" s="144"/>
      <c r="C741" s="145"/>
      <c r="D741" s="93"/>
      <c r="E741" s="93"/>
      <c r="F741" s="146"/>
    </row>
    <row r="742">
      <c r="A742" s="143"/>
      <c r="B742" s="144"/>
      <c r="C742" s="145"/>
      <c r="D742" s="93"/>
      <c r="E742" s="93"/>
      <c r="F742" s="146"/>
    </row>
    <row r="743">
      <c r="A743" s="143"/>
      <c r="B743" s="144"/>
      <c r="C743" s="145"/>
      <c r="D743" s="93"/>
      <c r="E743" s="93"/>
      <c r="F743" s="146"/>
    </row>
    <row r="744">
      <c r="A744" s="143"/>
      <c r="B744" s="144"/>
      <c r="C744" s="145"/>
      <c r="D744" s="93"/>
      <c r="E744" s="93"/>
      <c r="F744" s="146"/>
    </row>
    <row r="745">
      <c r="A745" s="143"/>
      <c r="B745" s="144"/>
      <c r="C745" s="145"/>
      <c r="D745" s="93"/>
      <c r="E745" s="93"/>
      <c r="F745" s="146"/>
    </row>
    <row r="746">
      <c r="A746" s="143"/>
      <c r="B746" s="144"/>
      <c r="C746" s="145"/>
      <c r="D746" s="93"/>
      <c r="E746" s="93"/>
      <c r="F746" s="146"/>
    </row>
    <row r="747">
      <c r="A747" s="143"/>
      <c r="B747" s="144"/>
      <c r="C747" s="145"/>
      <c r="D747" s="93"/>
      <c r="E747" s="93"/>
      <c r="F747" s="146"/>
    </row>
    <row r="748">
      <c r="A748" s="143"/>
      <c r="B748" s="144"/>
      <c r="C748" s="145"/>
      <c r="D748" s="93"/>
      <c r="E748" s="93"/>
      <c r="F748" s="146"/>
    </row>
    <row r="749">
      <c r="A749" s="143"/>
      <c r="B749" s="144"/>
      <c r="C749" s="145"/>
      <c r="D749" s="93"/>
      <c r="E749" s="93"/>
      <c r="F749" s="146"/>
    </row>
    <row r="750">
      <c r="A750" s="143"/>
      <c r="B750" s="144"/>
      <c r="C750" s="145"/>
      <c r="D750" s="93"/>
      <c r="E750" s="93"/>
      <c r="F750" s="146"/>
    </row>
    <row r="751">
      <c r="A751" s="143"/>
      <c r="B751" s="144"/>
      <c r="C751" s="145"/>
      <c r="D751" s="93"/>
      <c r="E751" s="93"/>
      <c r="F751" s="146"/>
    </row>
    <row r="752">
      <c r="A752" s="143"/>
      <c r="B752" s="144"/>
      <c r="C752" s="145"/>
      <c r="D752" s="93"/>
      <c r="E752" s="93"/>
      <c r="F752" s="146"/>
    </row>
    <row r="753">
      <c r="A753" s="143"/>
      <c r="B753" s="144"/>
      <c r="C753" s="145"/>
      <c r="D753" s="93"/>
      <c r="E753" s="93"/>
      <c r="F753" s="146"/>
    </row>
    <row r="754">
      <c r="A754" s="143"/>
      <c r="B754" s="144"/>
      <c r="C754" s="145"/>
      <c r="D754" s="93"/>
      <c r="E754" s="93"/>
      <c r="F754" s="146"/>
    </row>
    <row r="755">
      <c r="A755" s="143"/>
      <c r="B755" s="144"/>
      <c r="C755" s="145"/>
      <c r="D755" s="93"/>
      <c r="E755" s="93"/>
      <c r="F755" s="146"/>
    </row>
    <row r="756">
      <c r="A756" s="143"/>
      <c r="B756" s="144"/>
      <c r="C756" s="145"/>
      <c r="D756" s="93"/>
      <c r="E756" s="93"/>
      <c r="F756" s="146"/>
    </row>
    <row r="757">
      <c r="A757" s="143"/>
      <c r="B757" s="144"/>
      <c r="C757" s="145"/>
      <c r="D757" s="93"/>
      <c r="E757" s="93"/>
      <c r="F757" s="146"/>
    </row>
    <row r="758">
      <c r="A758" s="143"/>
      <c r="B758" s="144"/>
      <c r="C758" s="145"/>
      <c r="D758" s="93"/>
      <c r="E758" s="93"/>
      <c r="F758" s="146"/>
    </row>
    <row r="759">
      <c r="A759" s="143"/>
      <c r="B759" s="144"/>
      <c r="C759" s="145"/>
      <c r="D759" s="93"/>
      <c r="E759" s="93"/>
      <c r="F759" s="146"/>
    </row>
    <row r="760">
      <c r="A760" s="143"/>
      <c r="B760" s="144"/>
      <c r="C760" s="145"/>
      <c r="D760" s="93"/>
      <c r="E760" s="93"/>
      <c r="F760" s="146"/>
    </row>
    <row r="761">
      <c r="A761" s="143"/>
      <c r="B761" s="144"/>
      <c r="C761" s="145"/>
      <c r="D761" s="93"/>
      <c r="E761" s="93"/>
      <c r="F761" s="146"/>
    </row>
    <row r="762">
      <c r="A762" s="143"/>
      <c r="B762" s="144"/>
      <c r="C762" s="145"/>
      <c r="D762" s="93"/>
      <c r="E762" s="93"/>
      <c r="F762" s="146"/>
    </row>
    <row r="763">
      <c r="A763" s="143"/>
      <c r="B763" s="144"/>
      <c r="C763" s="145"/>
      <c r="D763" s="93"/>
      <c r="E763" s="93"/>
      <c r="F763" s="146"/>
    </row>
    <row r="764">
      <c r="A764" s="143"/>
      <c r="B764" s="144"/>
      <c r="C764" s="145"/>
      <c r="D764" s="93"/>
      <c r="E764" s="93"/>
      <c r="F764" s="146"/>
    </row>
    <row r="765">
      <c r="A765" s="143"/>
      <c r="B765" s="144"/>
      <c r="C765" s="145"/>
      <c r="D765" s="93"/>
      <c r="E765" s="93"/>
      <c r="F765" s="146"/>
    </row>
    <row r="766">
      <c r="A766" s="143"/>
      <c r="B766" s="144"/>
      <c r="C766" s="145"/>
      <c r="D766" s="93"/>
      <c r="E766" s="93"/>
      <c r="F766" s="146"/>
    </row>
    <row r="767">
      <c r="A767" s="143"/>
      <c r="B767" s="144"/>
      <c r="C767" s="145"/>
      <c r="D767" s="93"/>
      <c r="E767" s="93"/>
      <c r="F767" s="146"/>
    </row>
    <row r="768">
      <c r="A768" s="143"/>
      <c r="B768" s="144"/>
      <c r="C768" s="145"/>
      <c r="D768" s="93"/>
      <c r="E768" s="93"/>
      <c r="F768" s="146"/>
    </row>
    <row r="769">
      <c r="A769" s="143"/>
      <c r="B769" s="144"/>
      <c r="C769" s="145"/>
      <c r="D769" s="93"/>
      <c r="E769" s="93"/>
      <c r="F769" s="146"/>
    </row>
    <row r="770">
      <c r="A770" s="143"/>
      <c r="B770" s="144"/>
      <c r="C770" s="145"/>
      <c r="D770" s="93"/>
      <c r="E770" s="93"/>
      <c r="F770" s="146"/>
    </row>
    <row r="771">
      <c r="A771" s="143"/>
      <c r="B771" s="144"/>
      <c r="C771" s="145"/>
      <c r="D771" s="93"/>
      <c r="E771" s="93"/>
      <c r="F771" s="146"/>
    </row>
    <row r="772">
      <c r="A772" s="143"/>
      <c r="B772" s="144"/>
      <c r="C772" s="145"/>
      <c r="D772" s="93"/>
      <c r="E772" s="93"/>
      <c r="F772" s="146"/>
    </row>
    <row r="773">
      <c r="A773" s="143"/>
      <c r="B773" s="144"/>
      <c r="C773" s="145"/>
      <c r="D773" s="93"/>
      <c r="E773" s="93"/>
      <c r="F773" s="146"/>
    </row>
    <row r="774">
      <c r="A774" s="143"/>
      <c r="B774" s="144"/>
      <c r="C774" s="145"/>
      <c r="D774" s="93"/>
      <c r="E774" s="93"/>
      <c r="F774" s="146"/>
    </row>
    <row r="775">
      <c r="A775" s="143"/>
      <c r="B775" s="144"/>
      <c r="C775" s="145"/>
      <c r="D775" s="93"/>
      <c r="E775" s="93"/>
      <c r="F775" s="146"/>
    </row>
    <row r="776">
      <c r="A776" s="143"/>
      <c r="B776" s="144"/>
      <c r="C776" s="145"/>
      <c r="D776" s="93"/>
      <c r="E776" s="93"/>
      <c r="F776" s="146"/>
    </row>
    <row r="777">
      <c r="A777" s="143"/>
      <c r="B777" s="144"/>
      <c r="C777" s="145"/>
      <c r="D777" s="93"/>
      <c r="E777" s="93"/>
      <c r="F777" s="146"/>
    </row>
    <row r="778">
      <c r="A778" s="143"/>
      <c r="B778" s="144"/>
      <c r="C778" s="145"/>
      <c r="D778" s="93"/>
      <c r="E778" s="93"/>
      <c r="F778" s="146"/>
    </row>
    <row r="779">
      <c r="A779" s="143"/>
      <c r="B779" s="144"/>
      <c r="C779" s="145"/>
      <c r="D779" s="93"/>
      <c r="E779" s="93"/>
      <c r="F779" s="146"/>
    </row>
    <row r="780">
      <c r="A780" s="143"/>
      <c r="B780" s="144"/>
      <c r="C780" s="145"/>
      <c r="D780" s="93"/>
      <c r="E780" s="93"/>
      <c r="F780" s="146"/>
    </row>
    <row r="781">
      <c r="A781" s="143"/>
      <c r="B781" s="144"/>
      <c r="C781" s="145"/>
      <c r="D781" s="93"/>
      <c r="E781" s="93"/>
      <c r="F781" s="146"/>
    </row>
    <row r="782">
      <c r="A782" s="143"/>
      <c r="B782" s="144"/>
      <c r="C782" s="145"/>
      <c r="D782" s="93"/>
      <c r="E782" s="93"/>
      <c r="F782" s="146"/>
    </row>
    <row r="783">
      <c r="A783" s="143"/>
      <c r="B783" s="144"/>
      <c r="C783" s="145"/>
      <c r="D783" s="93"/>
      <c r="E783" s="93"/>
      <c r="F783" s="146"/>
    </row>
    <row r="784">
      <c r="A784" s="143"/>
      <c r="B784" s="144"/>
      <c r="C784" s="145"/>
      <c r="D784" s="93"/>
      <c r="E784" s="93"/>
      <c r="F784" s="146"/>
    </row>
    <row r="785">
      <c r="A785" s="143"/>
      <c r="B785" s="144"/>
      <c r="C785" s="145"/>
      <c r="D785" s="93"/>
      <c r="E785" s="93"/>
      <c r="F785" s="146"/>
    </row>
    <row r="786">
      <c r="A786" s="143"/>
      <c r="B786" s="144"/>
      <c r="C786" s="145"/>
      <c r="D786" s="93"/>
      <c r="E786" s="93"/>
      <c r="F786" s="146"/>
    </row>
    <row r="787">
      <c r="A787" s="143"/>
      <c r="B787" s="144"/>
      <c r="C787" s="145"/>
      <c r="D787" s="93"/>
      <c r="E787" s="93"/>
      <c r="F787" s="146"/>
    </row>
    <row r="788">
      <c r="A788" s="143"/>
      <c r="B788" s="144"/>
      <c r="C788" s="145"/>
      <c r="D788" s="93"/>
      <c r="E788" s="93"/>
      <c r="F788" s="146"/>
    </row>
    <row r="789">
      <c r="A789" s="143"/>
      <c r="B789" s="144"/>
      <c r="C789" s="145"/>
      <c r="D789" s="93"/>
      <c r="E789" s="93"/>
      <c r="F789" s="146"/>
    </row>
    <row r="790">
      <c r="A790" s="143"/>
      <c r="B790" s="144"/>
      <c r="C790" s="145"/>
      <c r="D790" s="93"/>
      <c r="E790" s="93"/>
      <c r="F790" s="146"/>
    </row>
    <row r="791">
      <c r="A791" s="143"/>
      <c r="B791" s="144"/>
      <c r="C791" s="145"/>
      <c r="D791" s="93"/>
      <c r="E791" s="93"/>
      <c r="F791" s="146"/>
    </row>
    <row r="792">
      <c r="A792" s="143"/>
      <c r="B792" s="144"/>
      <c r="C792" s="145"/>
      <c r="D792" s="93"/>
      <c r="E792" s="93"/>
      <c r="F792" s="146"/>
    </row>
    <row r="793">
      <c r="A793" s="143"/>
      <c r="B793" s="144"/>
      <c r="C793" s="145"/>
      <c r="D793" s="93"/>
      <c r="E793" s="93"/>
      <c r="F793" s="146"/>
    </row>
    <row r="794">
      <c r="A794" s="143"/>
      <c r="B794" s="144"/>
      <c r="C794" s="145"/>
      <c r="D794" s="93"/>
      <c r="E794" s="93"/>
      <c r="F794" s="146"/>
    </row>
    <row r="795">
      <c r="A795" s="143"/>
      <c r="B795" s="144"/>
      <c r="C795" s="145"/>
      <c r="D795" s="93"/>
      <c r="E795" s="93"/>
      <c r="F795" s="146"/>
    </row>
    <row r="796">
      <c r="A796" s="143"/>
      <c r="B796" s="144"/>
      <c r="C796" s="145"/>
      <c r="D796" s="93"/>
      <c r="E796" s="93"/>
      <c r="F796" s="146"/>
    </row>
    <row r="797">
      <c r="A797" s="143"/>
      <c r="B797" s="144"/>
      <c r="C797" s="145"/>
      <c r="D797" s="93"/>
      <c r="E797" s="93"/>
      <c r="F797" s="146"/>
    </row>
    <row r="798">
      <c r="A798" s="143"/>
      <c r="B798" s="144"/>
      <c r="C798" s="145"/>
      <c r="D798" s="93"/>
      <c r="E798" s="93"/>
      <c r="F798" s="146"/>
    </row>
    <row r="799">
      <c r="A799" s="143"/>
      <c r="B799" s="144"/>
      <c r="C799" s="145"/>
      <c r="D799" s="93"/>
      <c r="E799" s="93"/>
      <c r="F799" s="146"/>
    </row>
    <row r="800">
      <c r="A800" s="143"/>
      <c r="B800" s="144"/>
      <c r="C800" s="145"/>
      <c r="D800" s="93"/>
      <c r="E800" s="93"/>
      <c r="F800" s="146"/>
    </row>
    <row r="801">
      <c r="A801" s="143"/>
      <c r="B801" s="144"/>
      <c r="C801" s="145"/>
      <c r="D801" s="93"/>
      <c r="E801" s="93"/>
      <c r="F801" s="146"/>
    </row>
    <row r="802">
      <c r="A802" s="143"/>
      <c r="B802" s="144"/>
      <c r="C802" s="145"/>
      <c r="D802" s="93"/>
      <c r="E802" s="93"/>
      <c r="F802" s="146"/>
    </row>
    <row r="803">
      <c r="A803" s="143"/>
      <c r="B803" s="144"/>
      <c r="C803" s="145"/>
      <c r="D803" s="93"/>
      <c r="E803" s="93"/>
      <c r="F803" s="146"/>
    </row>
    <row r="804">
      <c r="A804" s="143"/>
      <c r="B804" s="144"/>
      <c r="C804" s="145"/>
      <c r="D804" s="93"/>
      <c r="E804" s="93"/>
      <c r="F804" s="146"/>
    </row>
    <row r="805">
      <c r="A805" s="143"/>
      <c r="B805" s="144"/>
      <c r="C805" s="145"/>
      <c r="D805" s="93"/>
      <c r="E805" s="93"/>
      <c r="F805" s="146"/>
    </row>
    <row r="806">
      <c r="A806" s="143"/>
      <c r="B806" s="144"/>
      <c r="C806" s="145"/>
      <c r="D806" s="93"/>
      <c r="E806" s="93"/>
      <c r="F806" s="146"/>
    </row>
    <row r="807">
      <c r="A807" s="143"/>
      <c r="B807" s="144"/>
      <c r="C807" s="145"/>
      <c r="D807" s="93"/>
      <c r="E807" s="93"/>
      <c r="F807" s="146"/>
    </row>
    <row r="808">
      <c r="A808" s="143"/>
      <c r="B808" s="144"/>
      <c r="C808" s="145"/>
      <c r="D808" s="93"/>
      <c r="E808" s="93"/>
      <c r="F808" s="146"/>
    </row>
    <row r="809">
      <c r="A809" s="143"/>
      <c r="B809" s="144"/>
      <c r="C809" s="145"/>
      <c r="D809" s="93"/>
      <c r="E809" s="93"/>
      <c r="F809" s="146"/>
    </row>
    <row r="810">
      <c r="A810" s="143"/>
      <c r="B810" s="144"/>
      <c r="C810" s="145"/>
      <c r="D810" s="93"/>
      <c r="E810" s="93"/>
      <c r="F810" s="146"/>
    </row>
    <row r="811">
      <c r="A811" s="143"/>
      <c r="B811" s="144"/>
      <c r="C811" s="145"/>
      <c r="D811" s="93"/>
      <c r="E811" s="93"/>
      <c r="F811" s="146"/>
    </row>
    <row r="812">
      <c r="A812" s="143"/>
      <c r="B812" s="144"/>
      <c r="C812" s="145"/>
      <c r="D812" s="93"/>
      <c r="E812" s="93"/>
      <c r="F812" s="146"/>
    </row>
    <row r="813">
      <c r="A813" s="143"/>
      <c r="B813" s="144"/>
      <c r="C813" s="145"/>
      <c r="D813" s="93"/>
      <c r="E813" s="93"/>
      <c r="F813" s="146"/>
    </row>
    <row r="814">
      <c r="A814" s="143"/>
      <c r="B814" s="144"/>
      <c r="C814" s="145"/>
      <c r="D814" s="93"/>
      <c r="E814" s="93"/>
      <c r="F814" s="146"/>
    </row>
    <row r="815">
      <c r="A815" s="143"/>
      <c r="B815" s="144"/>
      <c r="C815" s="145"/>
      <c r="D815" s="93"/>
      <c r="E815" s="93"/>
      <c r="F815" s="146"/>
    </row>
    <row r="816">
      <c r="A816" s="143"/>
      <c r="B816" s="144"/>
      <c r="C816" s="145"/>
      <c r="D816" s="93"/>
      <c r="E816" s="93"/>
      <c r="F816" s="146"/>
    </row>
    <row r="817">
      <c r="A817" s="143"/>
      <c r="B817" s="144"/>
      <c r="C817" s="145"/>
      <c r="D817" s="93"/>
      <c r="E817" s="93"/>
      <c r="F817" s="146"/>
    </row>
    <row r="818">
      <c r="A818" s="143"/>
      <c r="B818" s="144"/>
      <c r="C818" s="145"/>
      <c r="D818" s="93"/>
      <c r="E818" s="93"/>
      <c r="F818" s="146"/>
    </row>
    <row r="819">
      <c r="A819" s="143"/>
      <c r="B819" s="144"/>
      <c r="C819" s="145"/>
      <c r="D819" s="93"/>
      <c r="E819" s="93"/>
      <c r="F819" s="146"/>
    </row>
    <row r="820">
      <c r="A820" s="143"/>
      <c r="B820" s="144"/>
      <c r="C820" s="145"/>
      <c r="D820" s="93"/>
      <c r="E820" s="93"/>
      <c r="F820" s="146"/>
    </row>
    <row r="821">
      <c r="A821" s="143"/>
      <c r="B821" s="144"/>
      <c r="C821" s="145"/>
      <c r="D821" s="93"/>
      <c r="E821" s="93"/>
      <c r="F821" s="146"/>
    </row>
    <row r="822">
      <c r="A822" s="143"/>
      <c r="B822" s="144"/>
      <c r="C822" s="145"/>
      <c r="D822" s="93"/>
      <c r="E822" s="93"/>
      <c r="F822" s="146"/>
    </row>
    <row r="823">
      <c r="A823" s="143"/>
      <c r="B823" s="144"/>
      <c r="C823" s="145"/>
      <c r="D823" s="93"/>
      <c r="E823" s="93"/>
      <c r="F823" s="146"/>
    </row>
    <row r="824">
      <c r="A824" s="143"/>
      <c r="B824" s="144"/>
      <c r="C824" s="145"/>
      <c r="D824" s="93"/>
      <c r="E824" s="93"/>
      <c r="F824" s="146"/>
    </row>
    <row r="825">
      <c r="A825" s="143"/>
      <c r="B825" s="144"/>
      <c r="C825" s="145"/>
      <c r="D825" s="93"/>
      <c r="E825" s="93"/>
      <c r="F825" s="146"/>
    </row>
    <row r="826">
      <c r="A826" s="143"/>
      <c r="B826" s="144"/>
      <c r="C826" s="145"/>
      <c r="D826" s="93"/>
      <c r="E826" s="93"/>
      <c r="F826" s="146"/>
    </row>
    <row r="827">
      <c r="A827" s="143"/>
      <c r="B827" s="144"/>
      <c r="C827" s="145"/>
      <c r="D827" s="93"/>
      <c r="E827" s="93"/>
      <c r="F827" s="146"/>
    </row>
    <row r="828">
      <c r="A828" s="143"/>
      <c r="B828" s="144"/>
      <c r="C828" s="145"/>
      <c r="D828" s="93"/>
      <c r="E828" s="93"/>
      <c r="F828" s="146"/>
    </row>
    <row r="829">
      <c r="A829" s="143"/>
      <c r="B829" s="144"/>
      <c r="C829" s="145"/>
      <c r="D829" s="93"/>
      <c r="E829" s="93"/>
      <c r="F829" s="146"/>
    </row>
    <row r="830">
      <c r="A830" s="143"/>
      <c r="B830" s="144"/>
      <c r="C830" s="145"/>
      <c r="D830" s="93"/>
      <c r="E830" s="93"/>
      <c r="F830" s="146"/>
    </row>
    <row r="831">
      <c r="A831" s="143"/>
      <c r="B831" s="144"/>
      <c r="C831" s="145"/>
      <c r="D831" s="93"/>
      <c r="E831" s="93"/>
      <c r="F831" s="146"/>
    </row>
    <row r="832">
      <c r="A832" s="143"/>
      <c r="B832" s="144"/>
      <c r="C832" s="145"/>
      <c r="D832" s="93"/>
      <c r="E832" s="93"/>
      <c r="F832" s="146"/>
    </row>
    <row r="833">
      <c r="A833" s="143"/>
      <c r="B833" s="144"/>
      <c r="C833" s="145"/>
      <c r="D833" s="93"/>
      <c r="E833" s="93"/>
      <c r="F833" s="146"/>
    </row>
    <row r="834">
      <c r="A834" s="143"/>
      <c r="B834" s="144"/>
      <c r="C834" s="145"/>
      <c r="D834" s="93"/>
      <c r="E834" s="93"/>
      <c r="F834" s="146"/>
    </row>
    <row r="835">
      <c r="A835" s="143"/>
      <c r="B835" s="144"/>
      <c r="C835" s="145"/>
      <c r="D835" s="93"/>
      <c r="E835" s="93"/>
      <c r="F835" s="146"/>
    </row>
    <row r="836">
      <c r="A836" s="143"/>
      <c r="B836" s="144"/>
      <c r="C836" s="145"/>
      <c r="D836" s="93"/>
      <c r="E836" s="93"/>
      <c r="F836" s="146"/>
    </row>
    <row r="837">
      <c r="A837" s="143"/>
      <c r="B837" s="144"/>
      <c r="C837" s="145"/>
      <c r="D837" s="93"/>
      <c r="E837" s="93"/>
      <c r="F837" s="146"/>
    </row>
    <row r="838">
      <c r="A838" s="143"/>
      <c r="B838" s="144"/>
      <c r="C838" s="145"/>
      <c r="D838" s="93"/>
      <c r="E838" s="93"/>
      <c r="F838" s="146"/>
    </row>
    <row r="839">
      <c r="A839" s="143"/>
      <c r="B839" s="144"/>
      <c r="C839" s="145"/>
      <c r="D839" s="93"/>
      <c r="E839" s="93"/>
      <c r="F839" s="146"/>
    </row>
    <row r="840">
      <c r="A840" s="143"/>
      <c r="B840" s="144"/>
      <c r="C840" s="145"/>
      <c r="D840" s="93"/>
      <c r="E840" s="93"/>
      <c r="F840" s="146"/>
    </row>
    <row r="841">
      <c r="A841" s="143"/>
      <c r="B841" s="144"/>
      <c r="C841" s="145"/>
      <c r="D841" s="93"/>
      <c r="E841" s="93"/>
      <c r="F841" s="146"/>
    </row>
    <row r="842">
      <c r="A842" s="143"/>
      <c r="B842" s="144"/>
      <c r="C842" s="145"/>
      <c r="D842" s="93"/>
      <c r="E842" s="93"/>
      <c r="F842" s="146"/>
    </row>
    <row r="843">
      <c r="A843" s="143"/>
      <c r="B843" s="144"/>
      <c r="C843" s="145"/>
      <c r="D843" s="93"/>
      <c r="E843" s="93"/>
      <c r="F843" s="146"/>
    </row>
    <row r="844">
      <c r="A844" s="143"/>
      <c r="B844" s="144"/>
      <c r="C844" s="145"/>
      <c r="D844" s="93"/>
      <c r="E844" s="93"/>
      <c r="F844" s="146"/>
    </row>
    <row r="845">
      <c r="A845" s="143"/>
      <c r="B845" s="144"/>
      <c r="C845" s="145"/>
      <c r="D845" s="93"/>
      <c r="E845" s="93"/>
      <c r="F845" s="146"/>
    </row>
    <row r="846">
      <c r="A846" s="143"/>
      <c r="B846" s="144"/>
      <c r="C846" s="145"/>
      <c r="D846" s="93"/>
      <c r="E846" s="93"/>
      <c r="F846" s="146"/>
    </row>
    <row r="847">
      <c r="A847" s="143"/>
      <c r="B847" s="144"/>
      <c r="C847" s="145"/>
      <c r="D847" s="93"/>
      <c r="E847" s="93"/>
      <c r="F847" s="146"/>
    </row>
    <row r="848">
      <c r="A848" s="143"/>
      <c r="B848" s="144"/>
      <c r="C848" s="145"/>
      <c r="D848" s="93"/>
      <c r="E848" s="93"/>
      <c r="F848" s="146"/>
    </row>
    <row r="849">
      <c r="A849" s="143"/>
      <c r="B849" s="144"/>
      <c r="C849" s="145"/>
      <c r="D849" s="93"/>
      <c r="E849" s="93"/>
      <c r="F849" s="146"/>
    </row>
    <row r="850">
      <c r="A850" s="143"/>
      <c r="B850" s="144"/>
      <c r="C850" s="145"/>
      <c r="D850" s="93"/>
      <c r="E850" s="93"/>
      <c r="F850" s="146"/>
    </row>
    <row r="851">
      <c r="A851" s="143"/>
      <c r="B851" s="144"/>
      <c r="C851" s="145"/>
      <c r="D851" s="93"/>
      <c r="E851" s="93"/>
      <c r="F851" s="146"/>
    </row>
    <row r="852">
      <c r="A852" s="143"/>
      <c r="B852" s="144"/>
      <c r="C852" s="145"/>
      <c r="D852" s="93"/>
      <c r="E852" s="93"/>
      <c r="F852" s="146"/>
    </row>
    <row r="853">
      <c r="A853" s="143"/>
      <c r="B853" s="144"/>
      <c r="C853" s="145"/>
      <c r="D853" s="93"/>
      <c r="E853" s="93"/>
      <c r="F853" s="146"/>
    </row>
    <row r="854">
      <c r="A854" s="143"/>
      <c r="B854" s="144"/>
      <c r="C854" s="145"/>
      <c r="D854" s="93"/>
      <c r="E854" s="93"/>
      <c r="F854" s="146"/>
    </row>
    <row r="855">
      <c r="A855" s="143"/>
      <c r="B855" s="144"/>
      <c r="C855" s="145"/>
      <c r="D855" s="93"/>
      <c r="E855" s="93"/>
      <c r="F855" s="146"/>
    </row>
    <row r="856">
      <c r="A856" s="143"/>
      <c r="B856" s="144"/>
      <c r="C856" s="145"/>
      <c r="D856" s="93"/>
      <c r="E856" s="93"/>
      <c r="F856" s="146"/>
    </row>
    <row r="857">
      <c r="A857" s="143"/>
      <c r="B857" s="144"/>
      <c r="C857" s="145"/>
      <c r="D857" s="93"/>
      <c r="E857" s="93"/>
      <c r="F857" s="146"/>
    </row>
    <row r="858">
      <c r="A858" s="143"/>
      <c r="B858" s="144"/>
      <c r="C858" s="145"/>
      <c r="D858" s="93"/>
      <c r="E858" s="93"/>
      <c r="F858" s="146"/>
    </row>
    <row r="859">
      <c r="A859" s="143"/>
      <c r="B859" s="144"/>
      <c r="C859" s="145"/>
      <c r="D859" s="93"/>
      <c r="E859" s="93"/>
      <c r="F859" s="146"/>
    </row>
    <row r="860">
      <c r="A860" s="143"/>
      <c r="B860" s="144"/>
      <c r="C860" s="145"/>
      <c r="D860" s="93"/>
      <c r="E860" s="93"/>
      <c r="F860" s="146"/>
    </row>
    <row r="861">
      <c r="A861" s="143"/>
      <c r="B861" s="144"/>
      <c r="C861" s="145"/>
      <c r="D861" s="93"/>
      <c r="E861" s="93"/>
      <c r="F861" s="146"/>
    </row>
    <row r="862">
      <c r="A862" s="143"/>
      <c r="B862" s="144"/>
      <c r="C862" s="145"/>
      <c r="D862" s="93"/>
      <c r="E862" s="93"/>
      <c r="F862" s="146"/>
    </row>
    <row r="863">
      <c r="A863" s="143"/>
      <c r="B863" s="144"/>
      <c r="C863" s="145"/>
      <c r="D863" s="93"/>
      <c r="E863" s="93"/>
      <c r="F863" s="146"/>
    </row>
    <row r="864">
      <c r="A864" s="143"/>
      <c r="B864" s="144"/>
      <c r="C864" s="145"/>
      <c r="D864" s="93"/>
      <c r="E864" s="93"/>
      <c r="F864" s="146"/>
    </row>
    <row r="865">
      <c r="A865" s="143"/>
      <c r="B865" s="144"/>
      <c r="C865" s="145"/>
      <c r="D865" s="93"/>
      <c r="E865" s="93"/>
      <c r="F865" s="146"/>
    </row>
    <row r="866">
      <c r="A866" s="143"/>
      <c r="B866" s="144"/>
      <c r="C866" s="145"/>
      <c r="D866" s="93"/>
      <c r="E866" s="93"/>
      <c r="F866" s="146"/>
    </row>
    <row r="867">
      <c r="A867" s="143"/>
      <c r="B867" s="144"/>
      <c r="C867" s="145"/>
      <c r="D867" s="93"/>
      <c r="E867" s="93"/>
      <c r="F867" s="146"/>
    </row>
    <row r="868">
      <c r="A868" s="143"/>
      <c r="B868" s="144"/>
      <c r="C868" s="145"/>
      <c r="D868" s="93"/>
      <c r="E868" s="93"/>
      <c r="F868" s="146"/>
    </row>
    <row r="869">
      <c r="A869" s="143"/>
      <c r="B869" s="144"/>
      <c r="C869" s="145"/>
      <c r="D869" s="93"/>
      <c r="E869" s="93"/>
      <c r="F869" s="146"/>
    </row>
    <row r="870">
      <c r="A870" s="143"/>
      <c r="B870" s="144"/>
      <c r="C870" s="145"/>
      <c r="D870" s="93"/>
      <c r="E870" s="93"/>
      <c r="F870" s="146"/>
    </row>
    <row r="871">
      <c r="A871" s="143"/>
      <c r="B871" s="144"/>
      <c r="C871" s="145"/>
      <c r="D871" s="93"/>
      <c r="E871" s="93"/>
      <c r="F871" s="146"/>
    </row>
    <row r="872">
      <c r="A872" s="143"/>
      <c r="B872" s="144"/>
      <c r="C872" s="145"/>
      <c r="D872" s="93"/>
      <c r="E872" s="93"/>
      <c r="F872" s="146"/>
    </row>
    <row r="873">
      <c r="A873" s="143"/>
      <c r="B873" s="144"/>
      <c r="C873" s="145"/>
      <c r="D873" s="93"/>
      <c r="E873" s="93"/>
      <c r="F873" s="146"/>
    </row>
    <row r="874">
      <c r="A874" s="143"/>
      <c r="B874" s="144"/>
      <c r="C874" s="145"/>
      <c r="D874" s="93"/>
      <c r="E874" s="93"/>
      <c r="F874" s="146"/>
    </row>
    <row r="875">
      <c r="A875" s="143"/>
      <c r="B875" s="144"/>
      <c r="C875" s="145"/>
      <c r="D875" s="93"/>
      <c r="E875" s="93"/>
      <c r="F875" s="146"/>
    </row>
    <row r="876">
      <c r="A876" s="143"/>
      <c r="B876" s="144"/>
      <c r="C876" s="145"/>
      <c r="D876" s="93"/>
      <c r="E876" s="93"/>
      <c r="F876" s="146"/>
    </row>
    <row r="877">
      <c r="A877" s="143"/>
      <c r="B877" s="144"/>
      <c r="C877" s="145"/>
      <c r="D877" s="93"/>
      <c r="E877" s="93"/>
      <c r="F877" s="146"/>
    </row>
    <row r="878">
      <c r="A878" s="143"/>
      <c r="B878" s="144"/>
      <c r="C878" s="145"/>
      <c r="D878" s="93"/>
      <c r="E878" s="93"/>
      <c r="F878" s="146"/>
    </row>
    <row r="879">
      <c r="A879" s="143"/>
      <c r="B879" s="144"/>
      <c r="C879" s="145"/>
      <c r="D879" s="93"/>
      <c r="E879" s="93"/>
      <c r="F879" s="146"/>
    </row>
    <row r="880">
      <c r="A880" s="143"/>
      <c r="B880" s="144"/>
      <c r="C880" s="145"/>
      <c r="D880" s="93"/>
      <c r="E880" s="93"/>
      <c r="F880" s="146"/>
    </row>
    <row r="881">
      <c r="A881" s="143"/>
      <c r="B881" s="144"/>
      <c r="C881" s="145"/>
      <c r="D881" s="93"/>
      <c r="E881" s="93"/>
      <c r="F881" s="146"/>
    </row>
    <row r="882">
      <c r="A882" s="143"/>
      <c r="B882" s="144"/>
      <c r="C882" s="145"/>
      <c r="D882" s="93"/>
      <c r="E882" s="93"/>
      <c r="F882" s="146"/>
    </row>
    <row r="883">
      <c r="A883" s="143"/>
      <c r="B883" s="144"/>
      <c r="C883" s="145"/>
      <c r="D883" s="93"/>
      <c r="E883" s="93"/>
      <c r="F883" s="146"/>
    </row>
    <row r="884">
      <c r="A884" s="143"/>
      <c r="B884" s="144"/>
      <c r="C884" s="145"/>
      <c r="D884" s="93"/>
      <c r="E884" s="93"/>
      <c r="F884" s="146"/>
    </row>
    <row r="885">
      <c r="A885" s="143"/>
      <c r="B885" s="144"/>
      <c r="C885" s="145"/>
      <c r="D885" s="93"/>
      <c r="E885" s="93"/>
      <c r="F885" s="146"/>
    </row>
    <row r="886">
      <c r="A886" s="143"/>
      <c r="B886" s="144"/>
      <c r="C886" s="145"/>
      <c r="D886" s="93"/>
      <c r="E886" s="93"/>
      <c r="F886" s="146"/>
    </row>
    <row r="887">
      <c r="A887" s="143"/>
      <c r="B887" s="144"/>
      <c r="C887" s="145"/>
      <c r="D887" s="93"/>
      <c r="E887" s="93"/>
      <c r="F887" s="146"/>
    </row>
    <row r="888">
      <c r="A888" s="143"/>
      <c r="B888" s="144"/>
      <c r="C888" s="145"/>
      <c r="D888" s="93"/>
      <c r="E888" s="93"/>
      <c r="F888" s="146"/>
    </row>
    <row r="889">
      <c r="A889" s="143"/>
      <c r="B889" s="144"/>
      <c r="C889" s="145"/>
      <c r="D889" s="93"/>
      <c r="E889" s="93"/>
      <c r="F889" s="146"/>
    </row>
    <row r="890">
      <c r="A890" s="143"/>
      <c r="B890" s="144"/>
      <c r="C890" s="145"/>
      <c r="D890" s="93"/>
      <c r="E890" s="93"/>
      <c r="F890" s="146"/>
    </row>
    <row r="891">
      <c r="A891" s="143"/>
      <c r="B891" s="144"/>
      <c r="C891" s="145"/>
      <c r="D891" s="93"/>
      <c r="E891" s="93"/>
      <c r="F891" s="146"/>
    </row>
    <row r="892">
      <c r="A892" s="143"/>
      <c r="B892" s="144"/>
      <c r="C892" s="145"/>
      <c r="D892" s="93"/>
      <c r="E892" s="93"/>
      <c r="F892" s="146"/>
    </row>
    <row r="893">
      <c r="A893" s="143"/>
      <c r="B893" s="144"/>
      <c r="C893" s="145"/>
      <c r="D893" s="93"/>
      <c r="E893" s="93"/>
      <c r="F893" s="146"/>
    </row>
    <row r="894">
      <c r="A894" s="143"/>
      <c r="B894" s="144"/>
      <c r="C894" s="145"/>
      <c r="D894" s="93"/>
      <c r="E894" s="93"/>
      <c r="F894" s="146"/>
    </row>
    <row r="895">
      <c r="A895" s="143"/>
      <c r="B895" s="144"/>
      <c r="C895" s="145"/>
      <c r="D895" s="93"/>
      <c r="E895" s="93"/>
      <c r="F895" s="146"/>
    </row>
    <row r="896">
      <c r="A896" s="143"/>
      <c r="B896" s="144"/>
      <c r="C896" s="145"/>
      <c r="D896" s="93"/>
      <c r="E896" s="93"/>
      <c r="F896" s="146"/>
    </row>
    <row r="897">
      <c r="A897" s="143"/>
      <c r="B897" s="144"/>
      <c r="C897" s="145"/>
      <c r="D897" s="93"/>
      <c r="E897" s="93"/>
      <c r="F897" s="146"/>
    </row>
    <row r="898">
      <c r="A898" s="143"/>
      <c r="B898" s="144"/>
      <c r="C898" s="145"/>
      <c r="D898" s="93"/>
      <c r="E898" s="93"/>
      <c r="F898" s="146"/>
    </row>
    <row r="899">
      <c r="A899" s="143"/>
      <c r="B899" s="144"/>
      <c r="C899" s="145"/>
      <c r="D899" s="93"/>
      <c r="E899" s="93"/>
      <c r="F899" s="146"/>
    </row>
    <row r="900">
      <c r="A900" s="143"/>
      <c r="B900" s="144"/>
      <c r="C900" s="145"/>
      <c r="D900" s="93"/>
      <c r="E900" s="93"/>
      <c r="F900" s="146"/>
    </row>
    <row r="901">
      <c r="A901" s="143"/>
      <c r="B901" s="144"/>
      <c r="C901" s="145"/>
      <c r="D901" s="93"/>
      <c r="E901" s="93"/>
      <c r="F901" s="146"/>
    </row>
    <row r="902">
      <c r="A902" s="143"/>
      <c r="B902" s="144"/>
      <c r="C902" s="145"/>
      <c r="D902" s="93"/>
      <c r="E902" s="93"/>
      <c r="F902" s="146"/>
    </row>
    <row r="903">
      <c r="A903" s="143"/>
      <c r="B903" s="144"/>
      <c r="C903" s="145"/>
      <c r="D903" s="93"/>
      <c r="E903" s="93"/>
      <c r="F903" s="146"/>
    </row>
    <row r="904">
      <c r="A904" s="143"/>
      <c r="B904" s="144"/>
      <c r="C904" s="145"/>
      <c r="D904" s="93"/>
      <c r="E904" s="93"/>
      <c r="F904" s="146"/>
    </row>
    <row r="905">
      <c r="A905" s="143"/>
      <c r="B905" s="144"/>
      <c r="C905" s="145"/>
      <c r="D905" s="93"/>
      <c r="E905" s="93"/>
      <c r="F905" s="146"/>
    </row>
    <row r="906">
      <c r="A906" s="143"/>
      <c r="B906" s="144"/>
      <c r="C906" s="145"/>
      <c r="D906" s="93"/>
      <c r="E906" s="93"/>
      <c r="F906" s="146"/>
    </row>
    <row r="907">
      <c r="A907" s="143"/>
      <c r="B907" s="144"/>
      <c r="C907" s="145"/>
      <c r="D907" s="93"/>
      <c r="E907" s="93"/>
      <c r="F907" s="146"/>
    </row>
    <row r="908">
      <c r="A908" s="143"/>
      <c r="B908" s="144"/>
      <c r="C908" s="145"/>
      <c r="D908" s="93"/>
      <c r="E908" s="93"/>
      <c r="F908" s="146"/>
    </row>
    <row r="909">
      <c r="A909" s="143"/>
      <c r="B909" s="144"/>
      <c r="C909" s="145"/>
      <c r="D909" s="93"/>
      <c r="E909" s="93"/>
      <c r="F909" s="146"/>
    </row>
    <row r="910">
      <c r="A910" s="143"/>
      <c r="B910" s="144"/>
      <c r="C910" s="145"/>
      <c r="D910" s="93"/>
      <c r="E910" s="93"/>
      <c r="F910" s="146"/>
    </row>
    <row r="911">
      <c r="A911" s="143"/>
      <c r="B911" s="144"/>
      <c r="C911" s="145"/>
      <c r="D911" s="93"/>
      <c r="E911" s="93"/>
      <c r="F911" s="146"/>
    </row>
    <row r="912">
      <c r="A912" s="143"/>
      <c r="B912" s="144"/>
      <c r="C912" s="145"/>
      <c r="D912" s="93"/>
      <c r="E912" s="93"/>
      <c r="F912" s="146"/>
    </row>
    <row r="913">
      <c r="A913" s="143"/>
      <c r="B913" s="144"/>
      <c r="C913" s="145"/>
      <c r="D913" s="93"/>
      <c r="E913" s="93"/>
      <c r="F913" s="146"/>
    </row>
    <row r="914">
      <c r="A914" s="143"/>
      <c r="B914" s="144"/>
      <c r="C914" s="145"/>
      <c r="D914" s="93"/>
      <c r="E914" s="93"/>
      <c r="F914" s="146"/>
    </row>
    <row r="915">
      <c r="A915" s="143"/>
      <c r="B915" s="144"/>
      <c r="C915" s="145"/>
      <c r="D915" s="93"/>
      <c r="E915" s="93"/>
      <c r="F915" s="146"/>
    </row>
    <row r="916">
      <c r="A916" s="143"/>
      <c r="B916" s="144"/>
      <c r="C916" s="145"/>
      <c r="D916" s="93"/>
      <c r="E916" s="93"/>
      <c r="F916" s="146"/>
    </row>
    <row r="917">
      <c r="A917" s="143"/>
      <c r="B917" s="144"/>
      <c r="C917" s="145"/>
      <c r="D917" s="93"/>
      <c r="E917" s="93"/>
      <c r="F917" s="146"/>
    </row>
    <row r="918">
      <c r="A918" s="143"/>
      <c r="B918" s="144"/>
      <c r="C918" s="145"/>
      <c r="D918" s="93"/>
      <c r="E918" s="93"/>
      <c r="F918" s="146"/>
    </row>
    <row r="919">
      <c r="A919" s="143"/>
      <c r="B919" s="144"/>
      <c r="C919" s="145"/>
      <c r="D919" s="93"/>
      <c r="E919" s="93"/>
      <c r="F919" s="146"/>
    </row>
    <row r="920">
      <c r="A920" s="143"/>
      <c r="B920" s="144"/>
      <c r="C920" s="145"/>
      <c r="D920" s="93"/>
      <c r="E920" s="93"/>
      <c r="F920" s="146"/>
    </row>
    <row r="921">
      <c r="A921" s="143"/>
      <c r="B921" s="144"/>
      <c r="C921" s="145"/>
      <c r="D921" s="93"/>
      <c r="E921" s="93"/>
      <c r="F921" s="146"/>
    </row>
    <row r="922">
      <c r="A922" s="143"/>
      <c r="B922" s="144"/>
      <c r="C922" s="145"/>
      <c r="D922" s="93"/>
      <c r="E922" s="93"/>
      <c r="F922" s="146"/>
    </row>
    <row r="923">
      <c r="A923" s="143"/>
      <c r="B923" s="144"/>
      <c r="C923" s="145"/>
      <c r="D923" s="93"/>
      <c r="E923" s="93"/>
      <c r="F923" s="146"/>
    </row>
    <row r="924">
      <c r="A924" s="143"/>
      <c r="B924" s="144"/>
      <c r="C924" s="145"/>
      <c r="D924" s="93"/>
      <c r="E924" s="93"/>
      <c r="F924" s="146"/>
    </row>
    <row r="925">
      <c r="A925" s="143"/>
      <c r="B925" s="144"/>
      <c r="C925" s="145"/>
      <c r="D925" s="93"/>
      <c r="E925" s="93"/>
      <c r="F925" s="146"/>
    </row>
    <row r="926">
      <c r="A926" s="143"/>
      <c r="B926" s="144"/>
      <c r="C926" s="145"/>
      <c r="D926" s="93"/>
      <c r="E926" s="93"/>
      <c r="F926" s="146"/>
    </row>
    <row r="927">
      <c r="A927" s="143"/>
      <c r="B927" s="144"/>
      <c r="C927" s="145"/>
      <c r="D927" s="93"/>
      <c r="E927" s="93"/>
      <c r="F927" s="146"/>
    </row>
    <row r="928">
      <c r="A928" s="143"/>
      <c r="B928" s="144"/>
      <c r="C928" s="145"/>
      <c r="D928" s="93"/>
      <c r="E928" s="93"/>
      <c r="F928" s="146"/>
    </row>
    <row r="929">
      <c r="A929" s="143"/>
      <c r="B929" s="144"/>
      <c r="C929" s="145"/>
      <c r="D929" s="93"/>
      <c r="E929" s="93"/>
      <c r="F929" s="146"/>
    </row>
    <row r="930">
      <c r="A930" s="143"/>
      <c r="B930" s="144"/>
      <c r="C930" s="145"/>
      <c r="D930" s="93"/>
      <c r="E930" s="93"/>
      <c r="F930" s="146"/>
    </row>
    <row r="931">
      <c r="A931" s="143"/>
      <c r="B931" s="144"/>
      <c r="C931" s="145"/>
      <c r="D931" s="93"/>
      <c r="E931" s="93"/>
      <c r="F931" s="146"/>
    </row>
    <row r="932">
      <c r="A932" s="143"/>
      <c r="B932" s="144"/>
      <c r="C932" s="145"/>
      <c r="D932" s="93"/>
      <c r="E932" s="93"/>
      <c r="F932" s="146"/>
    </row>
    <row r="933">
      <c r="A933" s="143"/>
      <c r="B933" s="144"/>
      <c r="C933" s="145"/>
      <c r="D933" s="93"/>
      <c r="E933" s="93"/>
      <c r="F933" s="146"/>
    </row>
    <row r="934">
      <c r="A934" s="143"/>
      <c r="B934" s="144"/>
      <c r="C934" s="145"/>
      <c r="D934" s="93"/>
      <c r="E934" s="93"/>
      <c r="F934" s="146"/>
    </row>
    <row r="935">
      <c r="A935" s="143"/>
      <c r="B935" s="144"/>
      <c r="C935" s="145"/>
      <c r="D935" s="93"/>
      <c r="E935" s="93"/>
      <c r="F935" s="146"/>
    </row>
    <row r="936">
      <c r="A936" s="143"/>
      <c r="B936" s="144"/>
      <c r="C936" s="145"/>
      <c r="D936" s="93"/>
      <c r="E936" s="93"/>
      <c r="F936" s="146"/>
    </row>
    <row r="937">
      <c r="A937" s="143"/>
      <c r="B937" s="144"/>
      <c r="C937" s="145"/>
      <c r="D937" s="93"/>
      <c r="E937" s="93"/>
      <c r="F937" s="146"/>
    </row>
    <row r="938">
      <c r="A938" s="143"/>
      <c r="B938" s="144"/>
      <c r="C938" s="145"/>
      <c r="D938" s="93"/>
      <c r="E938" s="93"/>
      <c r="F938" s="146"/>
    </row>
    <row r="939">
      <c r="A939" s="143"/>
      <c r="B939" s="144"/>
      <c r="C939" s="145"/>
      <c r="D939" s="93"/>
      <c r="E939" s="93"/>
      <c r="F939" s="146"/>
    </row>
    <row r="940">
      <c r="A940" s="143"/>
      <c r="B940" s="144"/>
      <c r="C940" s="145"/>
      <c r="D940" s="93"/>
      <c r="E940" s="93"/>
      <c r="F940" s="146"/>
    </row>
    <row r="941">
      <c r="A941" s="143"/>
      <c r="B941" s="144"/>
      <c r="C941" s="145"/>
      <c r="D941" s="93"/>
      <c r="E941" s="93"/>
      <c r="F941" s="146"/>
    </row>
    <row r="942">
      <c r="A942" s="143"/>
      <c r="B942" s="144"/>
      <c r="C942" s="145"/>
      <c r="D942" s="93"/>
      <c r="E942" s="93"/>
      <c r="F942" s="146"/>
    </row>
    <row r="943">
      <c r="A943" s="143"/>
      <c r="B943" s="144"/>
      <c r="C943" s="145"/>
      <c r="D943" s="93"/>
      <c r="E943" s="93"/>
      <c r="F943" s="146"/>
    </row>
    <row r="944">
      <c r="A944" s="143"/>
      <c r="B944" s="144"/>
      <c r="C944" s="145"/>
      <c r="D944" s="93"/>
      <c r="E944" s="93"/>
      <c r="F944" s="146"/>
    </row>
    <row r="945">
      <c r="A945" s="143"/>
      <c r="B945" s="144"/>
      <c r="C945" s="145"/>
      <c r="D945" s="93"/>
      <c r="E945" s="93"/>
      <c r="F945" s="146"/>
    </row>
    <row r="946">
      <c r="A946" s="143"/>
      <c r="B946" s="144"/>
      <c r="C946" s="145"/>
      <c r="D946" s="93"/>
      <c r="E946" s="93"/>
      <c r="F946" s="146"/>
    </row>
    <row r="947">
      <c r="A947" s="143"/>
      <c r="B947" s="144"/>
      <c r="C947" s="145"/>
      <c r="D947" s="93"/>
      <c r="E947" s="93"/>
      <c r="F947" s="146"/>
    </row>
    <row r="948">
      <c r="A948" s="143"/>
      <c r="B948" s="144"/>
      <c r="C948" s="145"/>
      <c r="D948" s="93"/>
      <c r="E948" s="93"/>
      <c r="F948" s="146"/>
    </row>
    <row r="949">
      <c r="A949" s="143"/>
      <c r="B949" s="144"/>
      <c r="C949" s="145"/>
      <c r="D949" s="93"/>
      <c r="E949" s="93"/>
      <c r="F949" s="146"/>
    </row>
    <row r="950">
      <c r="A950" s="143"/>
      <c r="B950" s="144"/>
      <c r="C950" s="145"/>
      <c r="D950" s="93"/>
      <c r="E950" s="93"/>
      <c r="F950" s="146"/>
    </row>
    <row r="951">
      <c r="A951" s="143"/>
      <c r="B951" s="144"/>
      <c r="C951" s="145"/>
      <c r="D951" s="93"/>
      <c r="E951" s="93"/>
      <c r="F951" s="146"/>
    </row>
    <row r="952">
      <c r="A952" s="143"/>
      <c r="B952" s="144"/>
      <c r="C952" s="145"/>
      <c r="D952" s="93"/>
      <c r="E952" s="93"/>
      <c r="F952" s="146"/>
    </row>
    <row r="953">
      <c r="A953" s="143"/>
      <c r="B953" s="144"/>
      <c r="C953" s="145"/>
      <c r="D953" s="93"/>
      <c r="E953" s="93"/>
      <c r="F953" s="146"/>
    </row>
    <row r="954">
      <c r="A954" s="143"/>
      <c r="B954" s="144"/>
      <c r="C954" s="145"/>
      <c r="D954" s="93"/>
      <c r="E954" s="93"/>
      <c r="F954" s="146"/>
    </row>
    <row r="955">
      <c r="A955" s="143"/>
      <c r="B955" s="144"/>
      <c r="C955" s="145"/>
      <c r="D955" s="93"/>
      <c r="E955" s="93"/>
      <c r="F955" s="146"/>
    </row>
    <row r="956">
      <c r="A956" s="143"/>
      <c r="B956" s="144"/>
      <c r="C956" s="145"/>
      <c r="D956" s="93"/>
      <c r="E956" s="93"/>
      <c r="F956" s="146"/>
    </row>
    <row r="957">
      <c r="A957" s="143"/>
      <c r="B957" s="144"/>
      <c r="C957" s="145"/>
      <c r="D957" s="93"/>
      <c r="E957" s="93"/>
      <c r="F957" s="146"/>
    </row>
    <row r="958">
      <c r="A958" s="143"/>
      <c r="B958" s="144"/>
      <c r="C958" s="145"/>
      <c r="D958" s="93"/>
      <c r="E958" s="93"/>
      <c r="F958" s="146"/>
    </row>
    <row r="959">
      <c r="A959" s="143"/>
      <c r="B959" s="144"/>
      <c r="C959" s="145"/>
      <c r="D959" s="93"/>
      <c r="E959" s="93"/>
      <c r="F959" s="146"/>
    </row>
    <row r="960">
      <c r="A960" s="143"/>
      <c r="B960" s="144"/>
      <c r="C960" s="145"/>
      <c r="D960" s="93"/>
      <c r="E960" s="93"/>
      <c r="F960" s="146"/>
    </row>
    <row r="961">
      <c r="A961" s="143"/>
      <c r="B961" s="144"/>
      <c r="C961" s="145"/>
      <c r="D961" s="93"/>
      <c r="E961" s="93"/>
      <c r="F961" s="146"/>
    </row>
    <row r="962">
      <c r="A962" s="143"/>
      <c r="B962" s="144"/>
      <c r="C962" s="145"/>
      <c r="D962" s="93"/>
      <c r="E962" s="93"/>
      <c r="F962" s="146"/>
    </row>
    <row r="963">
      <c r="A963" s="143"/>
      <c r="B963" s="144"/>
      <c r="C963" s="145"/>
      <c r="D963" s="93"/>
      <c r="E963" s="93"/>
      <c r="F963" s="146"/>
    </row>
    <row r="964">
      <c r="A964" s="143"/>
      <c r="B964" s="144"/>
      <c r="C964" s="145"/>
      <c r="D964" s="93"/>
      <c r="E964" s="93"/>
      <c r="F964" s="146"/>
    </row>
    <row r="965">
      <c r="A965" s="143"/>
      <c r="B965" s="144"/>
      <c r="C965" s="145"/>
      <c r="D965" s="93"/>
      <c r="E965" s="93"/>
      <c r="F965" s="146"/>
    </row>
    <row r="966">
      <c r="A966" s="143"/>
      <c r="B966" s="144"/>
      <c r="C966" s="145"/>
      <c r="D966" s="93"/>
      <c r="E966" s="93"/>
      <c r="F966" s="146"/>
    </row>
    <row r="967">
      <c r="A967" s="143"/>
      <c r="B967" s="144"/>
      <c r="C967" s="145"/>
      <c r="D967" s="93"/>
      <c r="E967" s="93"/>
      <c r="F967" s="146"/>
    </row>
    <row r="968">
      <c r="A968" s="143"/>
      <c r="B968" s="144"/>
      <c r="C968" s="145"/>
      <c r="D968" s="93"/>
      <c r="E968" s="93"/>
      <c r="F968" s="146"/>
    </row>
    <row r="969">
      <c r="A969" s="143"/>
      <c r="B969" s="144"/>
      <c r="C969" s="145"/>
      <c r="D969" s="93"/>
      <c r="E969" s="93"/>
      <c r="F969" s="146"/>
    </row>
    <row r="970">
      <c r="A970" s="143"/>
      <c r="B970" s="144"/>
      <c r="C970" s="145"/>
      <c r="D970" s="93"/>
      <c r="E970" s="93"/>
      <c r="F970" s="146"/>
    </row>
    <row r="971">
      <c r="A971" s="143"/>
      <c r="B971" s="144"/>
      <c r="C971" s="145"/>
      <c r="D971" s="93"/>
      <c r="E971" s="93"/>
      <c r="F971" s="146"/>
    </row>
    <row r="972">
      <c r="A972" s="143"/>
      <c r="B972" s="144"/>
      <c r="C972" s="145"/>
      <c r="D972" s="93"/>
      <c r="E972" s="93"/>
      <c r="F972" s="146"/>
    </row>
    <row r="973">
      <c r="A973" s="143"/>
      <c r="B973" s="144"/>
      <c r="C973" s="145"/>
      <c r="D973" s="93"/>
      <c r="E973" s="93"/>
      <c r="F973" s="146"/>
    </row>
    <row r="974">
      <c r="A974" s="143"/>
      <c r="B974" s="144"/>
      <c r="C974" s="145"/>
      <c r="D974" s="93"/>
      <c r="E974" s="93"/>
      <c r="F974" s="146"/>
    </row>
    <row r="975">
      <c r="A975" s="143"/>
      <c r="B975" s="144"/>
      <c r="C975" s="145"/>
      <c r="D975" s="93"/>
      <c r="E975" s="93"/>
      <c r="F975" s="146"/>
    </row>
    <row r="976">
      <c r="A976" s="143"/>
      <c r="B976" s="144"/>
      <c r="C976" s="145"/>
      <c r="D976" s="93"/>
      <c r="E976" s="93"/>
      <c r="F976" s="146"/>
    </row>
    <row r="977">
      <c r="A977" s="143"/>
      <c r="B977" s="144"/>
      <c r="C977" s="145"/>
      <c r="D977" s="93"/>
      <c r="E977" s="93"/>
      <c r="F977" s="146"/>
    </row>
    <row r="978">
      <c r="A978" s="143"/>
      <c r="B978" s="144"/>
      <c r="C978" s="145"/>
      <c r="D978" s="93"/>
      <c r="E978" s="93"/>
      <c r="F978" s="146"/>
    </row>
    <row r="979">
      <c r="A979" s="143"/>
      <c r="B979" s="144"/>
      <c r="C979" s="145"/>
      <c r="D979" s="93"/>
      <c r="E979" s="93"/>
      <c r="F979" s="146"/>
    </row>
    <row r="980">
      <c r="A980" s="143"/>
      <c r="B980" s="144"/>
      <c r="C980" s="145"/>
      <c r="D980" s="93"/>
      <c r="E980" s="93"/>
      <c r="F980" s="146"/>
    </row>
    <row r="981">
      <c r="A981" s="143"/>
      <c r="B981" s="144"/>
      <c r="C981" s="145"/>
      <c r="D981" s="93"/>
      <c r="E981" s="93"/>
      <c r="F981" s="146"/>
    </row>
    <row r="982">
      <c r="A982" s="143"/>
      <c r="B982" s="144"/>
      <c r="C982" s="145"/>
      <c r="D982" s="93"/>
      <c r="E982" s="93"/>
      <c r="F982" s="146"/>
    </row>
    <row r="983">
      <c r="A983" s="143"/>
      <c r="B983" s="144"/>
      <c r="C983" s="145"/>
      <c r="D983" s="93"/>
      <c r="E983" s="93"/>
      <c r="F983" s="146"/>
    </row>
    <row r="984">
      <c r="A984" s="143"/>
      <c r="B984" s="144"/>
      <c r="C984" s="145"/>
      <c r="D984" s="93"/>
      <c r="E984" s="93"/>
      <c r="F984" s="146"/>
    </row>
    <row r="985">
      <c r="A985" s="143"/>
      <c r="B985" s="144"/>
      <c r="C985" s="145"/>
      <c r="D985" s="93"/>
      <c r="E985" s="93"/>
      <c r="F985" s="146"/>
    </row>
    <row r="986">
      <c r="A986" s="143"/>
      <c r="B986" s="144"/>
      <c r="C986" s="145"/>
      <c r="D986" s="93"/>
      <c r="E986" s="93"/>
      <c r="F986" s="146"/>
    </row>
    <row r="987">
      <c r="A987" s="143"/>
      <c r="B987" s="144"/>
      <c r="C987" s="145"/>
      <c r="D987" s="93"/>
      <c r="E987" s="93"/>
      <c r="F987" s="146"/>
    </row>
    <row r="988">
      <c r="A988" s="143"/>
      <c r="B988" s="144"/>
      <c r="C988" s="145"/>
      <c r="D988" s="93"/>
      <c r="E988" s="93"/>
      <c r="F988" s="146"/>
    </row>
    <row r="989">
      <c r="A989" s="143"/>
      <c r="B989" s="144"/>
      <c r="C989" s="145"/>
      <c r="D989" s="93"/>
      <c r="E989" s="93"/>
      <c r="F989" s="146"/>
    </row>
    <row r="990">
      <c r="A990" s="143"/>
      <c r="B990" s="144"/>
      <c r="C990" s="145"/>
      <c r="D990" s="93"/>
      <c r="E990" s="93"/>
      <c r="F990" s="146"/>
    </row>
    <row r="991">
      <c r="A991" s="143"/>
      <c r="B991" s="144"/>
      <c r="C991" s="145"/>
      <c r="D991" s="93"/>
      <c r="E991" s="93"/>
      <c r="F991" s="146"/>
    </row>
    <row r="992">
      <c r="A992" s="143"/>
      <c r="B992" s="144"/>
      <c r="C992" s="145"/>
      <c r="D992" s="93"/>
      <c r="E992" s="93"/>
      <c r="F992" s="146"/>
    </row>
    <row r="993">
      <c r="A993" s="143"/>
      <c r="B993" s="144"/>
      <c r="C993" s="145"/>
      <c r="D993" s="93"/>
      <c r="E993" s="93"/>
      <c r="F993" s="146"/>
    </row>
    <row r="994">
      <c r="A994" s="143"/>
      <c r="B994" s="144"/>
      <c r="C994" s="145"/>
      <c r="D994" s="93"/>
      <c r="E994" s="93"/>
      <c r="F994" s="146"/>
    </row>
    <row r="995">
      <c r="A995" s="143"/>
      <c r="B995" s="144"/>
      <c r="C995" s="145"/>
      <c r="D995" s="93"/>
      <c r="E995" s="93"/>
      <c r="F995" s="146"/>
    </row>
    <row r="996">
      <c r="A996" s="143"/>
      <c r="B996" s="144"/>
      <c r="C996" s="145"/>
      <c r="D996" s="93"/>
      <c r="E996" s="93"/>
      <c r="F996" s="146"/>
    </row>
    <row r="997">
      <c r="A997" s="143"/>
      <c r="B997" s="144"/>
      <c r="C997" s="145"/>
      <c r="D997" s="93"/>
      <c r="E997" s="93"/>
      <c r="F997" s="146"/>
    </row>
    <row r="998">
      <c r="A998" s="143"/>
      <c r="B998" s="144"/>
      <c r="C998" s="145"/>
      <c r="D998" s="93"/>
      <c r="E998" s="93"/>
      <c r="F998" s="146"/>
    </row>
    <row r="999">
      <c r="A999" s="143"/>
      <c r="B999" s="144"/>
      <c r="C999" s="145"/>
      <c r="D999" s="93"/>
      <c r="E999" s="93"/>
      <c r="F999" s="146"/>
    </row>
    <row r="1000">
      <c r="A1000" s="143"/>
      <c r="B1000" s="144"/>
      <c r="C1000" s="145"/>
      <c r="D1000" s="93"/>
      <c r="E1000" s="93"/>
      <c r="F1000" s="146"/>
    </row>
    <row r="1001">
      <c r="A1001" s="143"/>
      <c r="B1001" s="144"/>
      <c r="C1001" s="145"/>
      <c r="D1001" s="93"/>
      <c r="E1001" s="93"/>
      <c r="F1001" s="146"/>
    </row>
  </sheetData>
  <mergeCells count="4">
    <mergeCell ref="J3:K4"/>
    <mergeCell ref="M3:M4"/>
    <mergeCell ref="J6:K7"/>
    <mergeCell ref="M6:M7"/>
  </mergeCells>
  <dataValidations>
    <dataValidation type="list" allowBlank="1" showErrorMessage="1" sqref="A2:A1001">
      <formula1>GENERAL!$B$13:$B$40</formula1>
    </dataValidation>
    <dataValidation type="date" operator="lessThanOrEqual" allowBlank="1" showInputMessage="1" showErrorMessage="1" prompt="dd/MM/yyyy" sqref="D2:F2 D3:E3 D4:F12">
      <formula1>TODAY()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71"/>
    <col customWidth="1" min="3" max="3" width="13.86"/>
    <col customWidth="1" min="4" max="4" width="9.57"/>
    <col customWidth="1" min="5" max="5" width="10.57"/>
    <col customWidth="1" min="6" max="6" width="8.71"/>
    <col customWidth="1" min="7" max="7" width="5.57"/>
    <col customWidth="1" min="8" max="8" width="9.57"/>
    <col customWidth="1" min="9" max="9" width="8.29"/>
    <col customWidth="1" min="10" max="10" width="9.14"/>
    <col customWidth="1" min="11" max="11" width="11.0"/>
    <col customWidth="1" min="12" max="12" width="12.14"/>
    <col customWidth="1" min="13" max="13" width="10.43"/>
    <col customWidth="1" min="14" max="14" width="8.43"/>
  </cols>
  <sheetData>
    <row r="1">
      <c r="A1" s="122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 t="s">
        <v>134</v>
      </c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</row>
    <row r="2">
      <c r="A2" s="115" t="s">
        <v>111</v>
      </c>
      <c r="B2" s="115" t="s">
        <v>135</v>
      </c>
      <c r="C2" s="115" t="s">
        <v>136</v>
      </c>
      <c r="D2" s="115" t="s">
        <v>137</v>
      </c>
      <c r="E2" s="115" t="s">
        <v>138</v>
      </c>
      <c r="F2" s="115" t="s">
        <v>139</v>
      </c>
      <c r="G2" s="115" t="s">
        <v>140</v>
      </c>
      <c r="H2" s="115" t="s">
        <v>141</v>
      </c>
      <c r="I2" s="115" t="s">
        <v>142</v>
      </c>
      <c r="J2" s="115" t="s">
        <v>143</v>
      </c>
      <c r="K2" s="115" t="s">
        <v>144</v>
      </c>
      <c r="L2" s="115" t="s">
        <v>145</v>
      </c>
      <c r="M2" s="115" t="s">
        <v>146</v>
      </c>
      <c r="N2" s="115" t="s">
        <v>147</v>
      </c>
      <c r="O2" s="115" t="s">
        <v>148</v>
      </c>
      <c r="P2" s="119" t="s">
        <v>137</v>
      </c>
      <c r="Q2" s="121" t="s">
        <v>138</v>
      </c>
      <c r="R2" s="121" t="s">
        <v>139</v>
      </c>
      <c r="S2" s="121" t="s">
        <v>140</v>
      </c>
      <c r="T2" s="121" t="s">
        <v>141</v>
      </c>
      <c r="U2" s="121" t="s">
        <v>142</v>
      </c>
      <c r="V2" s="121" t="s">
        <v>143</v>
      </c>
      <c r="W2" s="121" t="s">
        <v>144</v>
      </c>
      <c r="X2" s="121" t="s">
        <v>145</v>
      </c>
      <c r="Y2" s="121" t="s">
        <v>146</v>
      </c>
      <c r="Z2" s="121" t="s">
        <v>147</v>
      </c>
      <c r="AA2" s="121" t="s">
        <v>148</v>
      </c>
    </row>
    <row r="3">
      <c r="A3" s="125" t="s">
        <v>122</v>
      </c>
      <c r="B3" s="66" t="s">
        <v>62</v>
      </c>
      <c r="C3" s="153">
        <f>GENERAL!D13</f>
        <v>0.1704545455</v>
      </c>
      <c r="D3" s="153">
        <v>0.31</v>
      </c>
      <c r="E3" s="153">
        <v>0.415</v>
      </c>
      <c r="F3" s="153">
        <v>0.275</v>
      </c>
      <c r="G3" s="153">
        <v>0.0</v>
      </c>
      <c r="H3" s="153">
        <v>0.0</v>
      </c>
      <c r="I3" s="153">
        <v>0.0</v>
      </c>
      <c r="J3" s="153">
        <v>0.0</v>
      </c>
      <c r="K3" s="153">
        <v>0.0</v>
      </c>
      <c r="L3" s="153">
        <v>0.0</v>
      </c>
      <c r="M3" s="153">
        <v>0.0</v>
      </c>
      <c r="N3" s="153">
        <v>0.0</v>
      </c>
      <c r="O3" s="153">
        <v>0.0</v>
      </c>
      <c r="P3" s="154">
        <f t="shared" ref="P3:P26" si="1">C3*D3</f>
        <v>0.05284090909</v>
      </c>
      <c r="Q3" s="155">
        <f t="shared" ref="Q3:Q26" si="2">C3*E3</f>
        <v>0.07073863636</v>
      </c>
      <c r="R3" s="155">
        <f t="shared" ref="R3:R26" si="3">C3*F3</f>
        <v>0.046875</v>
      </c>
      <c r="S3" s="155">
        <f t="shared" ref="S3:S26" si="4">C3*G3</f>
        <v>0</v>
      </c>
      <c r="T3" s="155">
        <f t="shared" ref="T3:T26" si="5">C3*H3</f>
        <v>0</v>
      </c>
      <c r="U3" s="155">
        <f t="shared" ref="U3:U26" si="6">C3*I3</f>
        <v>0</v>
      </c>
      <c r="V3" s="155">
        <f t="shared" ref="V3:V26" si="7">C3*J3</f>
        <v>0</v>
      </c>
      <c r="W3" s="155">
        <f t="shared" ref="W3:W26" si="8">C3*K3</f>
        <v>0</v>
      </c>
      <c r="X3" s="155">
        <f t="shared" ref="X3:X26" si="9">C3*L3</f>
        <v>0</v>
      </c>
      <c r="Y3" s="155">
        <f t="shared" ref="Y3:Y26" si="10">C3*M3</f>
        <v>0</v>
      </c>
      <c r="Z3" s="155">
        <f t="shared" ref="Z3:Z26" si="11">C3*N3</f>
        <v>0</v>
      </c>
      <c r="AA3" s="155">
        <f t="shared" ref="AA3:AA26" si="12">C3*O3</f>
        <v>0</v>
      </c>
    </row>
    <row r="4">
      <c r="A4" s="125" t="s">
        <v>123</v>
      </c>
      <c r="B4" s="66" t="s">
        <v>63</v>
      </c>
      <c r="C4" s="153">
        <f>GENERAL!D14</f>
        <v>0.4375</v>
      </c>
      <c r="D4" s="153">
        <v>0.471</v>
      </c>
      <c r="E4" s="153">
        <v>0.029</v>
      </c>
      <c r="F4" s="153">
        <v>0.5</v>
      </c>
      <c r="G4" s="153">
        <v>0.0</v>
      </c>
      <c r="H4" s="153">
        <v>0.0</v>
      </c>
      <c r="I4" s="153">
        <v>0.0</v>
      </c>
      <c r="J4" s="153">
        <v>0.0</v>
      </c>
      <c r="K4" s="153">
        <v>0.0</v>
      </c>
      <c r="L4" s="153">
        <v>0.0</v>
      </c>
      <c r="M4" s="153">
        <v>0.0</v>
      </c>
      <c r="N4" s="153">
        <v>0.0</v>
      </c>
      <c r="O4" s="153">
        <v>0.0</v>
      </c>
      <c r="P4" s="154">
        <f t="shared" si="1"/>
        <v>0.2060625</v>
      </c>
      <c r="Q4" s="155">
        <f t="shared" si="2"/>
        <v>0.0126875</v>
      </c>
      <c r="R4" s="155">
        <f t="shared" si="3"/>
        <v>0.21875</v>
      </c>
      <c r="S4" s="155">
        <f t="shared" si="4"/>
        <v>0</v>
      </c>
      <c r="T4" s="155">
        <f t="shared" si="5"/>
        <v>0</v>
      </c>
      <c r="U4" s="155">
        <f t="shared" si="6"/>
        <v>0</v>
      </c>
      <c r="V4" s="155">
        <f t="shared" si="7"/>
        <v>0</v>
      </c>
      <c r="W4" s="155">
        <f t="shared" si="8"/>
        <v>0</v>
      </c>
      <c r="X4" s="155">
        <f t="shared" si="9"/>
        <v>0</v>
      </c>
      <c r="Y4" s="155">
        <f t="shared" si="10"/>
        <v>0</v>
      </c>
      <c r="Z4" s="155">
        <f t="shared" si="11"/>
        <v>0</v>
      </c>
      <c r="AA4" s="155">
        <f t="shared" si="12"/>
        <v>0</v>
      </c>
    </row>
    <row r="5">
      <c r="A5" s="125" t="s">
        <v>124</v>
      </c>
      <c r="B5" s="66" t="s">
        <v>66</v>
      </c>
      <c r="C5" s="153">
        <f>GENERAL!D16</f>
        <v>0.09090909091</v>
      </c>
      <c r="D5" s="153">
        <v>0.86</v>
      </c>
      <c r="E5" s="153">
        <v>0.14</v>
      </c>
      <c r="F5" s="153">
        <v>0.0</v>
      </c>
      <c r="G5" s="153">
        <v>0.0</v>
      </c>
      <c r="H5" s="153">
        <v>0.0</v>
      </c>
      <c r="I5" s="153">
        <v>0.0</v>
      </c>
      <c r="J5" s="153">
        <v>0.0</v>
      </c>
      <c r="K5" s="153">
        <v>0.0</v>
      </c>
      <c r="L5" s="153">
        <v>0.0</v>
      </c>
      <c r="M5" s="153">
        <v>0.0</v>
      </c>
      <c r="N5" s="153">
        <v>0.0</v>
      </c>
      <c r="O5" s="153">
        <v>0.0</v>
      </c>
      <c r="P5" s="154">
        <f t="shared" si="1"/>
        <v>0.07818181818</v>
      </c>
      <c r="Q5" s="155">
        <f t="shared" si="2"/>
        <v>0.01272727273</v>
      </c>
      <c r="R5" s="155">
        <f t="shared" si="3"/>
        <v>0</v>
      </c>
      <c r="S5" s="155">
        <f t="shared" si="4"/>
        <v>0</v>
      </c>
      <c r="T5" s="155">
        <f t="shared" si="5"/>
        <v>0</v>
      </c>
      <c r="U5" s="155">
        <f t="shared" si="6"/>
        <v>0</v>
      </c>
      <c r="V5" s="155">
        <f t="shared" si="7"/>
        <v>0</v>
      </c>
      <c r="W5" s="155">
        <f t="shared" si="8"/>
        <v>0</v>
      </c>
      <c r="X5" s="155">
        <f t="shared" si="9"/>
        <v>0</v>
      </c>
      <c r="Y5" s="155">
        <f t="shared" si="10"/>
        <v>0</v>
      </c>
      <c r="Z5" s="155">
        <f t="shared" si="11"/>
        <v>0</v>
      </c>
      <c r="AA5" s="155">
        <f t="shared" si="12"/>
        <v>0</v>
      </c>
    </row>
    <row r="6">
      <c r="A6" s="125" t="s">
        <v>125</v>
      </c>
      <c r="B6" s="66" t="s">
        <v>61</v>
      </c>
      <c r="C6" s="153">
        <f>GENERAL!D12</f>
        <v>0.2840909091</v>
      </c>
      <c r="D6" s="156">
        <v>0.0</v>
      </c>
      <c r="E6" s="156">
        <v>0.64</v>
      </c>
      <c r="F6" s="156">
        <v>0.36</v>
      </c>
      <c r="G6" s="156">
        <v>0.0</v>
      </c>
      <c r="H6" s="156">
        <v>0.0</v>
      </c>
      <c r="I6" s="156">
        <v>0.0</v>
      </c>
      <c r="J6" s="156">
        <v>0.0</v>
      </c>
      <c r="K6" s="156">
        <v>0.0</v>
      </c>
      <c r="L6" s="156">
        <v>0.0</v>
      </c>
      <c r="M6" s="153">
        <v>0.0</v>
      </c>
      <c r="N6" s="153">
        <v>0.0</v>
      </c>
      <c r="O6" s="153">
        <v>0.0</v>
      </c>
      <c r="P6" s="154">
        <f t="shared" si="1"/>
        <v>0</v>
      </c>
      <c r="Q6" s="155">
        <f t="shared" si="2"/>
        <v>0.1818181818</v>
      </c>
      <c r="R6" s="155">
        <f t="shared" si="3"/>
        <v>0.1022727273</v>
      </c>
      <c r="S6" s="155">
        <f t="shared" si="4"/>
        <v>0</v>
      </c>
      <c r="T6" s="155">
        <f t="shared" si="5"/>
        <v>0</v>
      </c>
      <c r="U6" s="155">
        <f t="shared" si="6"/>
        <v>0</v>
      </c>
      <c r="V6" s="155">
        <f t="shared" si="7"/>
        <v>0</v>
      </c>
      <c r="W6" s="155">
        <f t="shared" si="8"/>
        <v>0</v>
      </c>
      <c r="X6" s="155">
        <f t="shared" si="9"/>
        <v>0</v>
      </c>
      <c r="Y6" s="155">
        <f t="shared" si="10"/>
        <v>0</v>
      </c>
      <c r="Z6" s="155">
        <f t="shared" si="11"/>
        <v>0</v>
      </c>
      <c r="AA6" s="155">
        <f t="shared" si="12"/>
        <v>0</v>
      </c>
    </row>
    <row r="7">
      <c r="A7" s="46" t="s">
        <v>67</v>
      </c>
      <c r="B7" s="69" t="s">
        <v>68</v>
      </c>
      <c r="C7" s="153">
        <f>GENERAL!D17</f>
        <v>0</v>
      </c>
      <c r="D7" s="156">
        <v>1.0</v>
      </c>
      <c r="E7" s="156">
        <v>0.0</v>
      </c>
      <c r="F7" s="156">
        <v>0.0</v>
      </c>
      <c r="G7" s="156">
        <v>0.0</v>
      </c>
      <c r="H7" s="156">
        <v>0.0</v>
      </c>
      <c r="I7" s="156">
        <v>0.0</v>
      </c>
      <c r="J7" s="156">
        <v>0.0</v>
      </c>
      <c r="K7" s="156">
        <v>0.0</v>
      </c>
      <c r="L7" s="156">
        <v>0.0</v>
      </c>
      <c r="M7" s="153">
        <v>0.0</v>
      </c>
      <c r="N7" s="156">
        <v>0.0</v>
      </c>
      <c r="O7" s="156">
        <v>0.0</v>
      </c>
      <c r="P7" s="154">
        <f t="shared" si="1"/>
        <v>0</v>
      </c>
      <c r="Q7" s="155">
        <f t="shared" si="2"/>
        <v>0</v>
      </c>
      <c r="R7" s="155">
        <f t="shared" si="3"/>
        <v>0</v>
      </c>
      <c r="S7" s="155">
        <f t="shared" si="4"/>
        <v>0</v>
      </c>
      <c r="T7" s="155">
        <f t="shared" si="5"/>
        <v>0</v>
      </c>
      <c r="U7" s="155">
        <f t="shared" si="6"/>
        <v>0</v>
      </c>
      <c r="V7" s="155">
        <f t="shared" si="7"/>
        <v>0</v>
      </c>
      <c r="W7" s="155">
        <f t="shared" si="8"/>
        <v>0</v>
      </c>
      <c r="X7" s="155">
        <f t="shared" si="9"/>
        <v>0</v>
      </c>
      <c r="Y7" s="155">
        <f t="shared" si="10"/>
        <v>0</v>
      </c>
      <c r="Z7" s="155">
        <f t="shared" si="11"/>
        <v>0</v>
      </c>
      <c r="AA7" s="155">
        <f t="shared" si="12"/>
        <v>0</v>
      </c>
    </row>
    <row r="8">
      <c r="A8" s="46" t="s">
        <v>64</v>
      </c>
      <c r="B8" s="66" t="s">
        <v>65</v>
      </c>
      <c r="C8" s="153">
        <f>GENERAL!D15</f>
        <v>0.2102272727</v>
      </c>
      <c r="D8" s="153">
        <v>0.633</v>
      </c>
      <c r="E8" s="153">
        <v>0.044</v>
      </c>
      <c r="F8" s="153">
        <v>0.0</v>
      </c>
      <c r="G8" s="153">
        <v>0.204</v>
      </c>
      <c r="H8" s="153">
        <v>0.119</v>
      </c>
      <c r="I8" s="153">
        <v>0.0</v>
      </c>
      <c r="J8" s="153">
        <v>0.0</v>
      </c>
      <c r="K8" s="153">
        <v>0.0</v>
      </c>
      <c r="L8" s="153">
        <v>0.0</v>
      </c>
      <c r="M8" s="153">
        <v>0.0</v>
      </c>
      <c r="N8" s="156">
        <v>0.0</v>
      </c>
      <c r="O8" s="156">
        <v>0.0</v>
      </c>
      <c r="P8" s="154">
        <f t="shared" si="1"/>
        <v>0.1330738636</v>
      </c>
      <c r="Q8" s="155">
        <f t="shared" si="2"/>
        <v>0.00925</v>
      </c>
      <c r="R8" s="155">
        <f t="shared" si="3"/>
        <v>0</v>
      </c>
      <c r="S8" s="155">
        <f t="shared" si="4"/>
        <v>0.04288636364</v>
      </c>
      <c r="T8" s="155">
        <f t="shared" si="5"/>
        <v>0.02501704545</v>
      </c>
      <c r="U8" s="155">
        <f t="shared" si="6"/>
        <v>0</v>
      </c>
      <c r="V8" s="155">
        <f t="shared" si="7"/>
        <v>0</v>
      </c>
      <c r="W8" s="155">
        <f t="shared" si="8"/>
        <v>0</v>
      </c>
      <c r="X8" s="155">
        <f t="shared" si="9"/>
        <v>0</v>
      </c>
      <c r="Y8" s="155">
        <f t="shared" si="10"/>
        <v>0</v>
      </c>
      <c r="Z8" s="155">
        <f t="shared" si="11"/>
        <v>0</v>
      </c>
      <c r="AA8" s="155">
        <f t="shared" si="12"/>
        <v>0</v>
      </c>
    </row>
    <row r="9">
      <c r="A9" s="46" t="s">
        <v>75</v>
      </c>
      <c r="B9" s="66" t="s">
        <v>76</v>
      </c>
      <c r="C9" s="153">
        <f>GENERAL!D21</f>
        <v>0.002840909091</v>
      </c>
      <c r="D9" s="153">
        <v>0.34</v>
      </c>
      <c r="E9" s="156">
        <v>0.21</v>
      </c>
      <c r="F9" s="153">
        <v>0.3</v>
      </c>
      <c r="G9" s="153">
        <v>0.0</v>
      </c>
      <c r="H9" s="153">
        <v>0.0</v>
      </c>
      <c r="I9" s="153">
        <v>0.0</v>
      </c>
      <c r="J9" s="153">
        <v>0.09</v>
      </c>
      <c r="K9" s="156">
        <v>0.0</v>
      </c>
      <c r="L9" s="153">
        <v>0.0</v>
      </c>
      <c r="M9" s="153">
        <v>0.0</v>
      </c>
      <c r="N9" s="156">
        <v>0.0</v>
      </c>
      <c r="O9" s="156">
        <v>0.0</v>
      </c>
      <c r="P9" s="154">
        <f t="shared" si="1"/>
        <v>0.0009659090909</v>
      </c>
      <c r="Q9" s="155">
        <f t="shared" si="2"/>
        <v>0.0005965909091</v>
      </c>
      <c r="R9" s="155">
        <f t="shared" si="3"/>
        <v>0.0008522727273</v>
      </c>
      <c r="S9" s="155">
        <f t="shared" si="4"/>
        <v>0</v>
      </c>
      <c r="T9" s="155">
        <f t="shared" si="5"/>
        <v>0</v>
      </c>
      <c r="U9" s="155">
        <f t="shared" si="6"/>
        <v>0</v>
      </c>
      <c r="V9" s="155">
        <f t="shared" si="7"/>
        <v>0.0002556818182</v>
      </c>
      <c r="W9" s="155">
        <f t="shared" si="8"/>
        <v>0</v>
      </c>
      <c r="X9" s="155">
        <f t="shared" si="9"/>
        <v>0</v>
      </c>
      <c r="Y9" s="155">
        <f t="shared" si="10"/>
        <v>0</v>
      </c>
      <c r="Z9" s="155">
        <f t="shared" si="11"/>
        <v>0</v>
      </c>
      <c r="AA9" s="155">
        <f t="shared" si="12"/>
        <v>0</v>
      </c>
    </row>
    <row r="10">
      <c r="A10" s="46" t="s">
        <v>77</v>
      </c>
      <c r="B10" s="66" t="s">
        <v>78</v>
      </c>
      <c r="C10" s="153">
        <f>GENERAL!D22</f>
        <v>0</v>
      </c>
      <c r="D10" s="153">
        <v>1.0</v>
      </c>
      <c r="E10" s="153">
        <v>0.0</v>
      </c>
      <c r="F10" s="153">
        <v>0.0</v>
      </c>
      <c r="G10" s="153">
        <v>0.0</v>
      </c>
      <c r="H10" s="153">
        <v>0.0</v>
      </c>
      <c r="I10" s="153">
        <v>0.0</v>
      </c>
      <c r="J10" s="153">
        <v>0.0</v>
      </c>
      <c r="K10" s="153">
        <v>0.0</v>
      </c>
      <c r="L10" s="153">
        <v>0.0</v>
      </c>
      <c r="M10" s="153">
        <v>0.0</v>
      </c>
      <c r="N10" s="156">
        <v>0.0</v>
      </c>
      <c r="O10" s="156">
        <v>0.0</v>
      </c>
      <c r="P10" s="154">
        <f t="shared" si="1"/>
        <v>0</v>
      </c>
      <c r="Q10" s="155">
        <f t="shared" si="2"/>
        <v>0</v>
      </c>
      <c r="R10" s="155">
        <f t="shared" si="3"/>
        <v>0</v>
      </c>
      <c r="S10" s="155">
        <f t="shared" si="4"/>
        <v>0</v>
      </c>
      <c r="T10" s="155">
        <f t="shared" si="5"/>
        <v>0</v>
      </c>
      <c r="U10" s="155">
        <f t="shared" si="6"/>
        <v>0</v>
      </c>
      <c r="V10" s="155">
        <f t="shared" si="7"/>
        <v>0</v>
      </c>
      <c r="W10" s="155">
        <f t="shared" si="8"/>
        <v>0</v>
      </c>
      <c r="X10" s="155">
        <f t="shared" si="9"/>
        <v>0</v>
      </c>
      <c r="Y10" s="155">
        <f t="shared" si="10"/>
        <v>0</v>
      </c>
      <c r="Z10" s="155">
        <f t="shared" si="11"/>
        <v>0</v>
      </c>
      <c r="AA10" s="155">
        <f t="shared" si="12"/>
        <v>0</v>
      </c>
    </row>
    <row r="11">
      <c r="A11" s="46" t="s">
        <v>79</v>
      </c>
      <c r="B11" s="66" t="s">
        <v>80</v>
      </c>
      <c r="C11" s="153">
        <f>GENERAL!D23</f>
        <v>0</v>
      </c>
      <c r="D11" s="153">
        <v>1.0</v>
      </c>
      <c r="E11" s="153">
        <v>0.0</v>
      </c>
      <c r="F11" s="153">
        <v>0.0</v>
      </c>
      <c r="G11" s="153">
        <v>0.0</v>
      </c>
      <c r="H11" s="153">
        <v>0.0</v>
      </c>
      <c r="I11" s="153">
        <v>0.0</v>
      </c>
      <c r="J11" s="153">
        <v>0.0</v>
      </c>
      <c r="K11" s="153">
        <v>0.0</v>
      </c>
      <c r="L11" s="153">
        <v>0.0</v>
      </c>
      <c r="M11" s="153">
        <v>0.0</v>
      </c>
      <c r="N11" s="156">
        <v>0.0</v>
      </c>
      <c r="O11" s="156">
        <v>0.0</v>
      </c>
      <c r="P11" s="154">
        <f t="shared" si="1"/>
        <v>0</v>
      </c>
      <c r="Q11" s="155">
        <f t="shared" si="2"/>
        <v>0</v>
      </c>
      <c r="R11" s="155">
        <f t="shared" si="3"/>
        <v>0</v>
      </c>
      <c r="S11" s="155">
        <f t="shared" si="4"/>
        <v>0</v>
      </c>
      <c r="T11" s="155">
        <f t="shared" si="5"/>
        <v>0</v>
      </c>
      <c r="U11" s="155">
        <f t="shared" si="6"/>
        <v>0</v>
      </c>
      <c r="V11" s="155">
        <f t="shared" si="7"/>
        <v>0</v>
      </c>
      <c r="W11" s="155">
        <f t="shared" si="8"/>
        <v>0</v>
      </c>
      <c r="X11" s="155">
        <f t="shared" si="9"/>
        <v>0</v>
      </c>
      <c r="Y11" s="155">
        <f t="shared" si="10"/>
        <v>0</v>
      </c>
      <c r="Z11" s="155">
        <f t="shared" si="11"/>
        <v>0</v>
      </c>
      <c r="AA11" s="155">
        <f t="shared" si="12"/>
        <v>0</v>
      </c>
    </row>
    <row r="12">
      <c r="A12" s="46" t="s">
        <v>81</v>
      </c>
      <c r="B12" s="66" t="s">
        <v>82</v>
      </c>
      <c r="C12" s="153">
        <f>GENERAL!D24</f>
        <v>0</v>
      </c>
      <c r="D12" s="156">
        <v>0.0</v>
      </c>
      <c r="E12" s="156">
        <v>0.0</v>
      </c>
      <c r="F12" s="156">
        <v>0.0</v>
      </c>
      <c r="G12" s="156">
        <v>0.0</v>
      </c>
      <c r="H12" s="156">
        <v>0.0</v>
      </c>
      <c r="I12" s="156">
        <v>1.0</v>
      </c>
      <c r="J12" s="156">
        <v>0.0</v>
      </c>
      <c r="K12" s="156">
        <v>0.0</v>
      </c>
      <c r="L12" s="156">
        <v>0.0</v>
      </c>
      <c r="M12" s="153">
        <v>0.0</v>
      </c>
      <c r="N12" s="156">
        <v>0.0</v>
      </c>
      <c r="O12" s="156">
        <v>0.0</v>
      </c>
      <c r="P12" s="154">
        <f t="shared" si="1"/>
        <v>0</v>
      </c>
      <c r="Q12" s="155">
        <f t="shared" si="2"/>
        <v>0</v>
      </c>
      <c r="R12" s="155">
        <f t="shared" si="3"/>
        <v>0</v>
      </c>
      <c r="S12" s="155">
        <f t="shared" si="4"/>
        <v>0</v>
      </c>
      <c r="T12" s="155">
        <f t="shared" si="5"/>
        <v>0</v>
      </c>
      <c r="U12" s="155">
        <f t="shared" si="6"/>
        <v>0</v>
      </c>
      <c r="V12" s="155">
        <f t="shared" si="7"/>
        <v>0</v>
      </c>
      <c r="W12" s="155">
        <f t="shared" si="8"/>
        <v>0</v>
      </c>
      <c r="X12" s="155">
        <f t="shared" si="9"/>
        <v>0</v>
      </c>
      <c r="Y12" s="155">
        <f t="shared" si="10"/>
        <v>0</v>
      </c>
      <c r="Z12" s="155">
        <f t="shared" si="11"/>
        <v>0</v>
      </c>
      <c r="AA12" s="155">
        <f t="shared" si="12"/>
        <v>0</v>
      </c>
    </row>
    <row r="13">
      <c r="A13" s="46" t="s">
        <v>73</v>
      </c>
      <c r="B13" s="66" t="s">
        <v>74</v>
      </c>
      <c r="C13" s="153">
        <f>GENERAL!D20</f>
        <v>0.01136363636</v>
      </c>
      <c r="D13" s="156">
        <v>0.0</v>
      </c>
      <c r="E13" s="156">
        <v>0.0</v>
      </c>
      <c r="F13" s="156">
        <v>0.0</v>
      </c>
      <c r="G13" s="156">
        <v>0.0</v>
      </c>
      <c r="H13" s="156">
        <v>0.0</v>
      </c>
      <c r="I13" s="156">
        <v>1.0</v>
      </c>
      <c r="J13" s="156">
        <v>0.0</v>
      </c>
      <c r="K13" s="156">
        <v>0.0</v>
      </c>
      <c r="L13" s="156">
        <v>0.0</v>
      </c>
      <c r="M13" s="153">
        <v>0.0</v>
      </c>
      <c r="N13" s="156">
        <v>0.0</v>
      </c>
      <c r="O13" s="156">
        <v>0.0</v>
      </c>
      <c r="P13" s="154">
        <f t="shared" si="1"/>
        <v>0</v>
      </c>
      <c r="Q13" s="155">
        <f t="shared" si="2"/>
        <v>0</v>
      </c>
      <c r="R13" s="155">
        <f t="shared" si="3"/>
        <v>0</v>
      </c>
      <c r="S13" s="155">
        <f t="shared" si="4"/>
        <v>0</v>
      </c>
      <c r="T13" s="155">
        <f t="shared" si="5"/>
        <v>0</v>
      </c>
      <c r="U13" s="155">
        <f t="shared" si="6"/>
        <v>0.01136363636</v>
      </c>
      <c r="V13" s="155">
        <f t="shared" si="7"/>
        <v>0</v>
      </c>
      <c r="W13" s="155">
        <f t="shared" si="8"/>
        <v>0</v>
      </c>
      <c r="X13" s="155">
        <f t="shared" si="9"/>
        <v>0</v>
      </c>
      <c r="Y13" s="155">
        <f t="shared" si="10"/>
        <v>0</v>
      </c>
      <c r="Z13" s="155">
        <f t="shared" si="11"/>
        <v>0</v>
      </c>
      <c r="AA13" s="155">
        <f t="shared" si="12"/>
        <v>0</v>
      </c>
    </row>
    <row r="14">
      <c r="A14" s="46" t="s">
        <v>83</v>
      </c>
      <c r="B14" s="66" t="s">
        <v>84</v>
      </c>
      <c r="C14" s="153">
        <f>GENERAL!D25</f>
        <v>0</v>
      </c>
      <c r="D14" s="156">
        <v>0.0</v>
      </c>
      <c r="E14" s="156">
        <v>0.0</v>
      </c>
      <c r="F14" s="156">
        <v>0.0</v>
      </c>
      <c r="G14" s="156">
        <v>0.0</v>
      </c>
      <c r="H14" s="156">
        <v>1.0</v>
      </c>
      <c r="I14" s="156">
        <v>0.0</v>
      </c>
      <c r="J14" s="156">
        <v>0.0</v>
      </c>
      <c r="K14" s="156">
        <v>0.0</v>
      </c>
      <c r="L14" s="156">
        <v>0.0</v>
      </c>
      <c r="M14" s="153">
        <v>0.0</v>
      </c>
      <c r="N14" s="156">
        <v>0.0</v>
      </c>
      <c r="O14" s="156">
        <v>0.0</v>
      </c>
      <c r="P14" s="154">
        <f t="shared" si="1"/>
        <v>0</v>
      </c>
      <c r="Q14" s="155">
        <f t="shared" si="2"/>
        <v>0</v>
      </c>
      <c r="R14" s="155">
        <f t="shared" si="3"/>
        <v>0</v>
      </c>
      <c r="S14" s="155">
        <f t="shared" si="4"/>
        <v>0</v>
      </c>
      <c r="T14" s="155">
        <f t="shared" si="5"/>
        <v>0</v>
      </c>
      <c r="U14" s="155">
        <f t="shared" si="6"/>
        <v>0</v>
      </c>
      <c r="V14" s="155">
        <f t="shared" si="7"/>
        <v>0</v>
      </c>
      <c r="W14" s="155">
        <f t="shared" si="8"/>
        <v>0</v>
      </c>
      <c r="X14" s="155">
        <f t="shared" si="9"/>
        <v>0</v>
      </c>
      <c r="Y14" s="155">
        <f t="shared" si="10"/>
        <v>0</v>
      </c>
      <c r="Z14" s="155">
        <f t="shared" si="11"/>
        <v>0</v>
      </c>
      <c r="AA14" s="155">
        <f t="shared" si="12"/>
        <v>0</v>
      </c>
    </row>
    <row r="15">
      <c r="A15" s="46" t="s">
        <v>71</v>
      </c>
      <c r="B15" s="66" t="s">
        <v>72</v>
      </c>
      <c r="C15" s="153">
        <f>GENERAL!D19</f>
        <v>0.03693181818</v>
      </c>
      <c r="D15" s="153">
        <v>0.0</v>
      </c>
      <c r="E15" s="153">
        <v>1.0</v>
      </c>
      <c r="F15" s="153">
        <v>0.0</v>
      </c>
      <c r="G15" s="153">
        <v>0.0</v>
      </c>
      <c r="H15" s="153">
        <v>0.0</v>
      </c>
      <c r="I15" s="153">
        <v>0.0</v>
      </c>
      <c r="J15" s="153">
        <v>0.0</v>
      </c>
      <c r="K15" s="153">
        <v>0.0</v>
      </c>
      <c r="L15" s="153">
        <v>0.0</v>
      </c>
      <c r="M15" s="153">
        <v>0.0</v>
      </c>
      <c r="N15" s="156">
        <v>0.0</v>
      </c>
      <c r="O15" s="156">
        <v>0.0</v>
      </c>
      <c r="P15" s="154">
        <f t="shared" si="1"/>
        <v>0</v>
      </c>
      <c r="Q15" s="155">
        <f t="shared" si="2"/>
        <v>0.03693181818</v>
      </c>
      <c r="R15" s="155">
        <f t="shared" si="3"/>
        <v>0</v>
      </c>
      <c r="S15" s="155">
        <f t="shared" si="4"/>
        <v>0</v>
      </c>
      <c r="T15" s="155">
        <f t="shared" si="5"/>
        <v>0</v>
      </c>
      <c r="U15" s="155">
        <f t="shared" si="6"/>
        <v>0</v>
      </c>
      <c r="V15" s="155">
        <f t="shared" si="7"/>
        <v>0</v>
      </c>
      <c r="W15" s="155">
        <f t="shared" si="8"/>
        <v>0</v>
      </c>
      <c r="X15" s="155">
        <f t="shared" si="9"/>
        <v>0</v>
      </c>
      <c r="Y15" s="155">
        <f t="shared" si="10"/>
        <v>0</v>
      </c>
      <c r="Z15" s="155">
        <f t="shared" si="11"/>
        <v>0</v>
      </c>
      <c r="AA15" s="155">
        <f t="shared" si="12"/>
        <v>0</v>
      </c>
    </row>
    <row r="16">
      <c r="A16" s="46" t="s">
        <v>59</v>
      </c>
      <c r="B16" s="66" t="s">
        <v>60</v>
      </c>
      <c r="C16" s="153">
        <f>GENERAL!D11</f>
        <v>0.1335227273</v>
      </c>
      <c r="D16" s="156">
        <v>0.0</v>
      </c>
      <c r="E16" s="156">
        <v>0.0</v>
      </c>
      <c r="F16" s="156">
        <v>0.0</v>
      </c>
      <c r="G16" s="156">
        <v>0.0</v>
      </c>
      <c r="H16" s="156">
        <v>0.0</v>
      </c>
      <c r="I16" s="156">
        <v>0.0</v>
      </c>
      <c r="J16" s="156">
        <v>0.0</v>
      </c>
      <c r="K16" s="156">
        <v>0.0</v>
      </c>
      <c r="L16" s="156">
        <v>0.0</v>
      </c>
      <c r="M16" s="153">
        <v>0.0</v>
      </c>
      <c r="N16" s="156">
        <v>1.0</v>
      </c>
      <c r="O16" s="156">
        <v>0.0</v>
      </c>
      <c r="P16" s="154">
        <f t="shared" si="1"/>
        <v>0</v>
      </c>
      <c r="Q16" s="155">
        <f t="shared" si="2"/>
        <v>0</v>
      </c>
      <c r="R16" s="155">
        <f t="shared" si="3"/>
        <v>0</v>
      </c>
      <c r="S16" s="155">
        <f t="shared" si="4"/>
        <v>0</v>
      </c>
      <c r="T16" s="155">
        <f t="shared" si="5"/>
        <v>0</v>
      </c>
      <c r="U16" s="155">
        <f t="shared" si="6"/>
        <v>0</v>
      </c>
      <c r="V16" s="155">
        <f t="shared" si="7"/>
        <v>0</v>
      </c>
      <c r="W16" s="155">
        <f t="shared" si="8"/>
        <v>0</v>
      </c>
      <c r="X16" s="155">
        <f t="shared" si="9"/>
        <v>0</v>
      </c>
      <c r="Y16" s="155">
        <f t="shared" si="10"/>
        <v>0</v>
      </c>
      <c r="Z16" s="155">
        <f t="shared" si="11"/>
        <v>0.1335227273</v>
      </c>
      <c r="AA16" s="155">
        <f t="shared" si="12"/>
        <v>0</v>
      </c>
    </row>
    <row r="17">
      <c r="A17" s="46" t="s">
        <v>85</v>
      </c>
      <c r="B17" s="66" t="s">
        <v>86</v>
      </c>
      <c r="C17" s="153">
        <f>GENERAL!D26</f>
        <v>0</v>
      </c>
      <c r="D17" s="153">
        <v>0.0</v>
      </c>
      <c r="E17" s="156">
        <v>0.3</v>
      </c>
      <c r="F17" s="156">
        <v>0.3</v>
      </c>
      <c r="G17" s="153">
        <v>0.0</v>
      </c>
      <c r="H17" s="153">
        <v>0.0</v>
      </c>
      <c r="I17" s="156">
        <v>0.2</v>
      </c>
      <c r="J17" s="156">
        <v>0.2</v>
      </c>
      <c r="K17" s="153">
        <v>0.0</v>
      </c>
      <c r="L17" s="153">
        <v>0.0</v>
      </c>
      <c r="M17" s="153">
        <v>0.0</v>
      </c>
      <c r="N17" s="156">
        <v>0.0</v>
      </c>
      <c r="O17" s="156">
        <v>0.0</v>
      </c>
      <c r="P17" s="154">
        <f t="shared" si="1"/>
        <v>0</v>
      </c>
      <c r="Q17" s="155">
        <f t="shared" si="2"/>
        <v>0</v>
      </c>
      <c r="R17" s="155">
        <f t="shared" si="3"/>
        <v>0</v>
      </c>
      <c r="S17" s="155">
        <f t="shared" si="4"/>
        <v>0</v>
      </c>
      <c r="T17" s="155">
        <f t="shared" si="5"/>
        <v>0</v>
      </c>
      <c r="U17" s="155">
        <f t="shared" si="6"/>
        <v>0</v>
      </c>
      <c r="V17" s="155">
        <f t="shared" si="7"/>
        <v>0</v>
      </c>
      <c r="W17" s="155">
        <f t="shared" si="8"/>
        <v>0</v>
      </c>
      <c r="X17" s="155">
        <f t="shared" si="9"/>
        <v>0</v>
      </c>
      <c r="Y17" s="155">
        <f t="shared" si="10"/>
        <v>0</v>
      </c>
      <c r="Z17" s="155">
        <f t="shared" si="11"/>
        <v>0</v>
      </c>
      <c r="AA17" s="155">
        <f t="shared" si="12"/>
        <v>0</v>
      </c>
    </row>
    <row r="18">
      <c r="A18" s="46" t="s">
        <v>87</v>
      </c>
      <c r="B18" s="66" t="s">
        <v>88</v>
      </c>
      <c r="C18" s="153">
        <f>GENERAL!D27</f>
        <v>0</v>
      </c>
      <c r="D18" s="156">
        <v>0.0</v>
      </c>
      <c r="E18" s="156">
        <v>0.0</v>
      </c>
      <c r="F18" s="156">
        <v>0.0</v>
      </c>
      <c r="G18" s="156">
        <v>0.0</v>
      </c>
      <c r="H18" s="156">
        <v>0.0</v>
      </c>
      <c r="I18" s="156">
        <v>0.0</v>
      </c>
      <c r="J18" s="156">
        <v>0.0</v>
      </c>
      <c r="K18" s="156">
        <v>0.0</v>
      </c>
      <c r="L18" s="156">
        <v>1.0</v>
      </c>
      <c r="M18" s="153">
        <v>0.0</v>
      </c>
      <c r="N18" s="156">
        <v>0.0</v>
      </c>
      <c r="O18" s="156">
        <v>0.0</v>
      </c>
      <c r="P18" s="154">
        <f t="shared" si="1"/>
        <v>0</v>
      </c>
      <c r="Q18" s="155">
        <f t="shared" si="2"/>
        <v>0</v>
      </c>
      <c r="R18" s="155">
        <f t="shared" si="3"/>
        <v>0</v>
      </c>
      <c r="S18" s="155">
        <f t="shared" si="4"/>
        <v>0</v>
      </c>
      <c r="T18" s="155">
        <f t="shared" si="5"/>
        <v>0</v>
      </c>
      <c r="U18" s="155">
        <f t="shared" si="6"/>
        <v>0</v>
      </c>
      <c r="V18" s="155">
        <f t="shared" si="7"/>
        <v>0</v>
      </c>
      <c r="W18" s="155">
        <f t="shared" si="8"/>
        <v>0</v>
      </c>
      <c r="X18" s="155">
        <f t="shared" si="9"/>
        <v>0</v>
      </c>
      <c r="Y18" s="155">
        <f t="shared" si="10"/>
        <v>0</v>
      </c>
      <c r="Z18" s="155">
        <f t="shared" si="11"/>
        <v>0</v>
      </c>
      <c r="AA18" s="155">
        <f t="shared" si="12"/>
        <v>0</v>
      </c>
    </row>
    <row r="19">
      <c r="A19" s="46" t="s">
        <v>89</v>
      </c>
      <c r="B19" s="69" t="s">
        <v>90</v>
      </c>
      <c r="C19" s="153">
        <f>GENERAL!D28</f>
        <v>0</v>
      </c>
      <c r="D19" s="153">
        <v>1.0</v>
      </c>
      <c r="E19" s="153">
        <v>0.0</v>
      </c>
      <c r="F19" s="153">
        <v>0.0</v>
      </c>
      <c r="G19" s="153">
        <v>0.0</v>
      </c>
      <c r="H19" s="153">
        <v>0.0</v>
      </c>
      <c r="I19" s="153">
        <v>0.0</v>
      </c>
      <c r="J19" s="153">
        <v>0.0</v>
      </c>
      <c r="K19" s="153">
        <v>0.0</v>
      </c>
      <c r="L19" s="153">
        <v>0.0</v>
      </c>
      <c r="M19" s="153">
        <v>0.0</v>
      </c>
      <c r="N19" s="156">
        <v>0.0</v>
      </c>
      <c r="O19" s="156">
        <v>0.0</v>
      </c>
      <c r="P19" s="154">
        <f t="shared" si="1"/>
        <v>0</v>
      </c>
      <c r="Q19" s="155">
        <f t="shared" si="2"/>
        <v>0</v>
      </c>
      <c r="R19" s="155">
        <f t="shared" si="3"/>
        <v>0</v>
      </c>
      <c r="S19" s="155">
        <f t="shared" si="4"/>
        <v>0</v>
      </c>
      <c r="T19" s="155">
        <f t="shared" si="5"/>
        <v>0</v>
      </c>
      <c r="U19" s="155">
        <f t="shared" si="6"/>
        <v>0</v>
      </c>
      <c r="V19" s="155">
        <f t="shared" si="7"/>
        <v>0</v>
      </c>
      <c r="W19" s="155">
        <f t="shared" si="8"/>
        <v>0</v>
      </c>
      <c r="X19" s="155">
        <f t="shared" si="9"/>
        <v>0</v>
      </c>
      <c r="Y19" s="155">
        <f t="shared" si="10"/>
        <v>0</v>
      </c>
      <c r="Z19" s="155">
        <f t="shared" si="11"/>
        <v>0</v>
      </c>
      <c r="AA19" s="155">
        <f t="shared" si="12"/>
        <v>0</v>
      </c>
    </row>
    <row r="20">
      <c r="A20" s="46" t="s">
        <v>57</v>
      </c>
      <c r="B20" s="66" t="s">
        <v>58</v>
      </c>
      <c r="C20" s="153">
        <f>GENERAL!D10</f>
        <v>0.1107954545</v>
      </c>
      <c r="D20" s="156">
        <v>0.0</v>
      </c>
      <c r="E20" s="156">
        <v>0.0</v>
      </c>
      <c r="F20" s="156">
        <v>0.0</v>
      </c>
      <c r="G20" s="156">
        <v>0.0</v>
      </c>
      <c r="H20" s="156">
        <v>0.0</v>
      </c>
      <c r="I20" s="156">
        <v>0.0</v>
      </c>
      <c r="J20" s="156">
        <v>0.0</v>
      </c>
      <c r="K20" s="156">
        <v>0.0</v>
      </c>
      <c r="L20" s="156">
        <v>0.0</v>
      </c>
      <c r="M20" s="156">
        <v>1.0</v>
      </c>
      <c r="N20" s="156">
        <v>0.0</v>
      </c>
      <c r="O20" s="156">
        <v>0.0</v>
      </c>
      <c r="P20" s="154">
        <f t="shared" si="1"/>
        <v>0</v>
      </c>
      <c r="Q20" s="155">
        <f t="shared" si="2"/>
        <v>0</v>
      </c>
      <c r="R20" s="155">
        <f t="shared" si="3"/>
        <v>0</v>
      </c>
      <c r="S20" s="155">
        <f t="shared" si="4"/>
        <v>0</v>
      </c>
      <c r="T20" s="155">
        <f t="shared" si="5"/>
        <v>0</v>
      </c>
      <c r="U20" s="155">
        <f t="shared" si="6"/>
        <v>0</v>
      </c>
      <c r="V20" s="155">
        <f t="shared" si="7"/>
        <v>0</v>
      </c>
      <c r="W20" s="155">
        <f t="shared" si="8"/>
        <v>0</v>
      </c>
      <c r="X20" s="155">
        <f t="shared" si="9"/>
        <v>0</v>
      </c>
      <c r="Y20" s="155">
        <f t="shared" si="10"/>
        <v>0.1107954545</v>
      </c>
      <c r="Z20" s="155">
        <f t="shared" si="11"/>
        <v>0</v>
      </c>
      <c r="AA20" s="155">
        <f t="shared" si="12"/>
        <v>0</v>
      </c>
    </row>
    <row r="21">
      <c r="A21" s="46" t="s">
        <v>69</v>
      </c>
      <c r="B21" s="66" t="s">
        <v>70</v>
      </c>
      <c r="C21" s="153">
        <f>GENERAL!D18</f>
        <v>0.03977272727</v>
      </c>
      <c r="D21" s="156">
        <v>0.0</v>
      </c>
      <c r="E21" s="156">
        <v>0.0</v>
      </c>
      <c r="F21" s="156">
        <v>0.0</v>
      </c>
      <c r="G21" s="156">
        <v>0.0</v>
      </c>
      <c r="H21" s="156">
        <v>0.0</v>
      </c>
      <c r="I21" s="156">
        <v>0.0</v>
      </c>
      <c r="J21" s="156">
        <v>0.0</v>
      </c>
      <c r="K21" s="156">
        <v>1.0</v>
      </c>
      <c r="L21" s="156">
        <v>0.0</v>
      </c>
      <c r="M21" s="156">
        <v>0.0</v>
      </c>
      <c r="N21" s="156">
        <v>0.0</v>
      </c>
      <c r="O21" s="156">
        <v>0.0</v>
      </c>
      <c r="P21" s="154">
        <f t="shared" si="1"/>
        <v>0</v>
      </c>
      <c r="Q21" s="155">
        <f t="shared" si="2"/>
        <v>0</v>
      </c>
      <c r="R21" s="155">
        <f t="shared" si="3"/>
        <v>0</v>
      </c>
      <c r="S21" s="155">
        <f t="shared" si="4"/>
        <v>0</v>
      </c>
      <c r="T21" s="155">
        <f t="shared" si="5"/>
        <v>0</v>
      </c>
      <c r="U21" s="155">
        <f t="shared" si="6"/>
        <v>0</v>
      </c>
      <c r="V21" s="155">
        <f t="shared" si="7"/>
        <v>0</v>
      </c>
      <c r="W21" s="155">
        <f t="shared" si="8"/>
        <v>0.03977272727</v>
      </c>
      <c r="X21" s="155">
        <f t="shared" si="9"/>
        <v>0</v>
      </c>
      <c r="Y21" s="155">
        <f t="shared" si="10"/>
        <v>0</v>
      </c>
      <c r="Z21" s="155">
        <f t="shared" si="11"/>
        <v>0</v>
      </c>
      <c r="AA21" s="155">
        <f t="shared" si="12"/>
        <v>0</v>
      </c>
    </row>
    <row r="22">
      <c r="A22" s="46" t="s">
        <v>91</v>
      </c>
      <c r="B22" s="66" t="s">
        <v>92</v>
      </c>
      <c r="C22" s="153">
        <f>GENERAL!D29</f>
        <v>0</v>
      </c>
      <c r="D22" s="156">
        <v>1.0</v>
      </c>
      <c r="E22" s="156">
        <v>0.0</v>
      </c>
      <c r="F22" s="156">
        <v>0.0</v>
      </c>
      <c r="G22" s="156">
        <v>0.0</v>
      </c>
      <c r="H22" s="156">
        <v>0.0</v>
      </c>
      <c r="I22" s="156">
        <v>0.0</v>
      </c>
      <c r="J22" s="156">
        <v>0.0</v>
      </c>
      <c r="K22" s="156">
        <v>0.0</v>
      </c>
      <c r="L22" s="156">
        <v>0.0</v>
      </c>
      <c r="M22" s="153">
        <v>0.0</v>
      </c>
      <c r="N22" s="156">
        <v>0.0</v>
      </c>
      <c r="O22" s="156">
        <v>0.0</v>
      </c>
      <c r="P22" s="154">
        <f t="shared" si="1"/>
        <v>0</v>
      </c>
      <c r="Q22" s="155">
        <f t="shared" si="2"/>
        <v>0</v>
      </c>
      <c r="R22" s="155">
        <f t="shared" si="3"/>
        <v>0</v>
      </c>
      <c r="S22" s="155">
        <f t="shared" si="4"/>
        <v>0</v>
      </c>
      <c r="T22" s="155">
        <f t="shared" si="5"/>
        <v>0</v>
      </c>
      <c r="U22" s="155">
        <f t="shared" si="6"/>
        <v>0</v>
      </c>
      <c r="V22" s="155">
        <f t="shared" si="7"/>
        <v>0</v>
      </c>
      <c r="W22" s="155">
        <f t="shared" si="8"/>
        <v>0</v>
      </c>
      <c r="X22" s="155">
        <f t="shared" si="9"/>
        <v>0</v>
      </c>
      <c r="Y22" s="155">
        <f t="shared" si="10"/>
        <v>0</v>
      </c>
      <c r="Z22" s="155">
        <f t="shared" si="11"/>
        <v>0</v>
      </c>
      <c r="AA22" s="155">
        <f t="shared" si="12"/>
        <v>0</v>
      </c>
    </row>
    <row r="23">
      <c r="A23" s="46" t="s">
        <v>93</v>
      </c>
      <c r="B23" s="70" t="s">
        <v>94</v>
      </c>
      <c r="C23" s="153">
        <f>GENERAL!D30</f>
        <v>0</v>
      </c>
      <c r="D23" s="156">
        <v>0.0</v>
      </c>
      <c r="E23" s="156">
        <v>0.0</v>
      </c>
      <c r="F23" s="156">
        <v>0.0</v>
      </c>
      <c r="G23" s="156">
        <v>0.0</v>
      </c>
      <c r="H23" s="156">
        <v>0.0</v>
      </c>
      <c r="I23" s="156">
        <v>0.0</v>
      </c>
      <c r="J23" s="156">
        <v>0.0</v>
      </c>
      <c r="K23" s="156">
        <v>1.0</v>
      </c>
      <c r="L23" s="156">
        <v>0.0</v>
      </c>
      <c r="M23" s="156">
        <v>0.0</v>
      </c>
      <c r="N23" s="156">
        <v>0.0</v>
      </c>
      <c r="O23" s="156">
        <v>0.0</v>
      </c>
      <c r="P23" s="154">
        <f t="shared" si="1"/>
        <v>0</v>
      </c>
      <c r="Q23" s="155">
        <f t="shared" si="2"/>
        <v>0</v>
      </c>
      <c r="R23" s="155">
        <f t="shared" si="3"/>
        <v>0</v>
      </c>
      <c r="S23" s="155">
        <f t="shared" si="4"/>
        <v>0</v>
      </c>
      <c r="T23" s="155">
        <f t="shared" si="5"/>
        <v>0</v>
      </c>
      <c r="U23" s="155">
        <f t="shared" si="6"/>
        <v>0</v>
      </c>
      <c r="V23" s="155">
        <f t="shared" si="7"/>
        <v>0</v>
      </c>
      <c r="W23" s="155">
        <f t="shared" si="8"/>
        <v>0</v>
      </c>
      <c r="X23" s="155">
        <f t="shared" si="9"/>
        <v>0</v>
      </c>
      <c r="Y23" s="155">
        <f t="shared" si="10"/>
        <v>0</v>
      </c>
      <c r="Z23" s="155">
        <f t="shared" si="11"/>
        <v>0</v>
      </c>
      <c r="AA23" s="155">
        <f t="shared" si="12"/>
        <v>0</v>
      </c>
    </row>
    <row r="24">
      <c r="A24" s="71" t="s">
        <v>95</v>
      </c>
      <c r="B24" s="66" t="s">
        <v>96</v>
      </c>
      <c r="C24" s="153">
        <f>GENERAL!D31</f>
        <v>0</v>
      </c>
      <c r="D24" s="156">
        <v>0.0</v>
      </c>
      <c r="E24" s="156">
        <v>0.0</v>
      </c>
      <c r="F24" s="156">
        <v>0.0</v>
      </c>
      <c r="G24" s="156">
        <v>0.0</v>
      </c>
      <c r="H24" s="156">
        <v>0.0</v>
      </c>
      <c r="I24" s="156">
        <v>0.0</v>
      </c>
      <c r="J24" s="156">
        <v>0.0</v>
      </c>
      <c r="K24" s="156">
        <v>0.0</v>
      </c>
      <c r="L24" s="156">
        <v>0.0</v>
      </c>
      <c r="M24" s="153">
        <v>0.0</v>
      </c>
      <c r="N24" s="156">
        <v>0.0</v>
      </c>
      <c r="O24" s="156">
        <v>1.0</v>
      </c>
      <c r="P24" s="154">
        <f t="shared" si="1"/>
        <v>0</v>
      </c>
      <c r="Q24" s="155">
        <f t="shared" si="2"/>
        <v>0</v>
      </c>
      <c r="R24" s="155">
        <f t="shared" si="3"/>
        <v>0</v>
      </c>
      <c r="S24" s="155">
        <f t="shared" si="4"/>
        <v>0</v>
      </c>
      <c r="T24" s="155">
        <f t="shared" si="5"/>
        <v>0</v>
      </c>
      <c r="U24" s="155">
        <f t="shared" si="6"/>
        <v>0</v>
      </c>
      <c r="V24" s="155">
        <f t="shared" si="7"/>
        <v>0</v>
      </c>
      <c r="W24" s="155">
        <f t="shared" si="8"/>
        <v>0</v>
      </c>
      <c r="X24" s="155">
        <f t="shared" si="9"/>
        <v>0</v>
      </c>
      <c r="Y24" s="155">
        <f t="shared" si="10"/>
        <v>0</v>
      </c>
      <c r="Z24" s="155">
        <f t="shared" si="11"/>
        <v>0</v>
      </c>
      <c r="AA24" s="155">
        <f t="shared" si="12"/>
        <v>0</v>
      </c>
    </row>
    <row r="25">
      <c r="A25" s="71" t="s">
        <v>98</v>
      </c>
      <c r="B25" s="66" t="s">
        <v>99</v>
      </c>
      <c r="C25" s="153">
        <f>GENERAL!D32</f>
        <v>0</v>
      </c>
      <c r="D25" s="156">
        <v>0.0</v>
      </c>
      <c r="E25" s="156">
        <v>0.0</v>
      </c>
      <c r="F25" s="156">
        <v>0.0</v>
      </c>
      <c r="G25" s="156">
        <v>0.0</v>
      </c>
      <c r="H25" s="156">
        <v>0.0</v>
      </c>
      <c r="I25" s="156">
        <v>0.0</v>
      </c>
      <c r="J25" s="156">
        <v>0.0</v>
      </c>
      <c r="K25" s="156">
        <v>0.5</v>
      </c>
      <c r="L25" s="156">
        <v>0.0</v>
      </c>
      <c r="M25" s="153">
        <v>0.0</v>
      </c>
      <c r="N25" s="156">
        <v>0.5</v>
      </c>
      <c r="O25" s="156">
        <v>0.0</v>
      </c>
      <c r="P25" s="154">
        <f t="shared" si="1"/>
        <v>0</v>
      </c>
      <c r="Q25" s="155">
        <f t="shared" si="2"/>
        <v>0</v>
      </c>
      <c r="R25" s="155">
        <f t="shared" si="3"/>
        <v>0</v>
      </c>
      <c r="S25" s="155">
        <f t="shared" si="4"/>
        <v>0</v>
      </c>
      <c r="T25" s="155">
        <f t="shared" si="5"/>
        <v>0</v>
      </c>
      <c r="U25" s="155">
        <f t="shared" si="6"/>
        <v>0</v>
      </c>
      <c r="V25" s="155">
        <f t="shared" si="7"/>
        <v>0</v>
      </c>
      <c r="W25" s="155">
        <f t="shared" si="8"/>
        <v>0</v>
      </c>
      <c r="X25" s="155">
        <f t="shared" si="9"/>
        <v>0</v>
      </c>
      <c r="Y25" s="155">
        <f t="shared" si="10"/>
        <v>0</v>
      </c>
      <c r="Z25" s="155">
        <f t="shared" si="11"/>
        <v>0</v>
      </c>
      <c r="AA25" s="155">
        <f t="shared" si="12"/>
        <v>0</v>
      </c>
    </row>
    <row r="26">
      <c r="A26" s="74" t="s">
        <v>100</v>
      </c>
      <c r="B26" s="157" t="s">
        <v>101</v>
      </c>
      <c r="C26" s="153">
        <f>GENERAL!D33</f>
        <v>0</v>
      </c>
      <c r="D26" s="156">
        <v>0.0</v>
      </c>
      <c r="E26" s="156">
        <v>0.0</v>
      </c>
      <c r="F26" s="156">
        <v>0.0</v>
      </c>
      <c r="G26" s="156">
        <v>1.0</v>
      </c>
      <c r="H26" s="156">
        <v>0.0</v>
      </c>
      <c r="I26" s="156">
        <v>0.0</v>
      </c>
      <c r="J26" s="156">
        <v>0.0</v>
      </c>
      <c r="K26" s="156">
        <v>0.0</v>
      </c>
      <c r="L26" s="156">
        <v>0.0</v>
      </c>
      <c r="M26" s="153">
        <v>0.0</v>
      </c>
      <c r="N26" s="156">
        <v>0.0</v>
      </c>
      <c r="O26" s="156">
        <v>0.0</v>
      </c>
      <c r="P26" s="154">
        <f t="shared" si="1"/>
        <v>0</v>
      </c>
      <c r="Q26" s="155">
        <f t="shared" si="2"/>
        <v>0</v>
      </c>
      <c r="R26" s="155">
        <f t="shared" si="3"/>
        <v>0</v>
      </c>
      <c r="S26" s="155">
        <f t="shared" si="4"/>
        <v>0</v>
      </c>
      <c r="T26" s="155">
        <f t="shared" si="5"/>
        <v>0</v>
      </c>
      <c r="U26" s="155">
        <f t="shared" si="6"/>
        <v>0</v>
      </c>
      <c r="V26" s="155">
        <f t="shared" si="7"/>
        <v>0</v>
      </c>
      <c r="W26" s="155">
        <f t="shared" si="8"/>
        <v>0</v>
      </c>
      <c r="X26" s="155">
        <f t="shared" si="9"/>
        <v>0</v>
      </c>
      <c r="Y26" s="155">
        <f t="shared" si="10"/>
        <v>0</v>
      </c>
      <c r="Z26" s="155">
        <f t="shared" si="11"/>
        <v>0</v>
      </c>
      <c r="AA26" s="155">
        <f t="shared" si="12"/>
        <v>0</v>
      </c>
    </row>
    <row r="27">
      <c r="P27" s="154">
        <f t="shared" ref="P27:AA27" si="13">SUM(P3:P25)</f>
        <v>0.471125</v>
      </c>
      <c r="Q27" s="154">
        <f t="shared" si="13"/>
        <v>0.32475</v>
      </c>
      <c r="R27" s="154">
        <f t="shared" si="13"/>
        <v>0.36875</v>
      </c>
      <c r="S27" s="154">
        <f t="shared" si="13"/>
        <v>0.04288636364</v>
      </c>
      <c r="T27" s="154">
        <f t="shared" si="13"/>
        <v>0.02501704545</v>
      </c>
      <c r="U27" s="154">
        <f t="shared" si="13"/>
        <v>0.01136363636</v>
      </c>
      <c r="V27" s="154">
        <f t="shared" si="13"/>
        <v>0.0002556818182</v>
      </c>
      <c r="W27" s="154">
        <f t="shared" si="13"/>
        <v>0.03977272727</v>
      </c>
      <c r="X27" s="154">
        <f t="shared" si="13"/>
        <v>0</v>
      </c>
      <c r="Y27" s="154">
        <f t="shared" si="13"/>
        <v>0.1107954545</v>
      </c>
      <c r="Z27" s="154">
        <f t="shared" si="13"/>
        <v>0.1335227273</v>
      </c>
      <c r="AA27" s="154">
        <f t="shared" si="13"/>
        <v>0</v>
      </c>
    </row>
  </sheetData>
  <hyperlinks>
    <hyperlink r:id="rId1" ref="B7"/>
    <hyperlink r:id="rId2" ref="B19"/>
    <hyperlink r:id="rId3" ref="B23"/>
  </hyperlinks>
  <drawing r:id="rId4"/>
  <tableParts count="3">
    <tablePart r:id="rId8"/>
    <tablePart r:id="rId9"/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58" t="s">
        <v>102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</row>
    <row r="10">
      <c r="A10" s="160" t="s">
        <v>154</v>
      </c>
      <c r="B10" s="161">
        <f t="array" ref="B10">IF(SUMIFS(INDIRECT("'"&amp;A$1&amp;"_DIV'!"&amp;"C:C"),INDIRECT("'"&amp;A$1&amp;"_DIV'!"&amp;"E:E"),B1)=0,"",SUMIFS(INDIRECT("'"&amp;A$1&amp;"_DIV'!"&amp;"C:C"),INDIRECT("'"&amp;A$1&amp;"_DIV'!"&amp;"E:E"),B1))</f>
        <v>0.013681</v>
      </c>
      <c r="C10" s="161">
        <f t="array" ref="C10">SUMIFS(INDIRECT("'"&amp;A$1&amp;"_DIV'!"&amp;"C:C"),INDIRECT("'"&amp;A$1&amp;"_DIV'!"&amp;"E:E"),C1)</f>
        <v>0.668868</v>
      </c>
      <c r="D10" s="161">
        <f t="array" ref="D10">SUMIFS(INDIRECT("'"&amp;A$1&amp;"_DIV'!"&amp;"C:C"),INDIRECT("'"&amp;A$1&amp;"_DIV'!"&amp;"E:E"),D1)</f>
        <v>0.29326</v>
      </c>
      <c r="E10" s="161">
        <f t="array" ref="E10">SUMIFS(INDIRECT("'"&amp;A$1&amp;"_DIV'!"&amp;"C:C"),INDIRECT("'"&amp;A$1&amp;"_DIV'!"&amp;"E:E"),E1)</f>
        <v>0.36297</v>
      </c>
      <c r="F10" s="161">
        <f t="array" ref="F10">SUMIFS(INDIRECT("'"&amp;A$1&amp;"_DIV'!"&amp;"C:C"),INDIRECT("'"&amp;A$1&amp;"_DIV'!"&amp;"E:E"),F1)</f>
        <v>0.34339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2" t="s">
        <v>129</v>
      </c>
      <c r="B1" s="163" t="s">
        <v>155</v>
      </c>
    </row>
    <row r="2">
      <c r="A2" s="164" t="s">
        <v>156</v>
      </c>
      <c r="B2" s="165" t="s">
        <v>157</v>
      </c>
      <c r="C2" s="143">
        <f t="shared" ref="C2:C107" si="1">VALUE(SUBSTITUTE(SUBSTITUTE(B2,"MXN $",""),"",""))</f>
        <v>0.013681</v>
      </c>
      <c r="D2" s="143" t="str">
        <f t="shared" ref="D2:D107" si="2">SUBSTITUTE(SUBSTITUTE(A2,"de",""),"","")</f>
        <v>10  abril  2023</v>
      </c>
      <c r="E2" s="143" t="str">
        <f t="shared" ref="E2:E107" si="3">IF(IF(ROUNDUP(MONTH(D2)/3,0)-1=0,4,ROUNDUP(MONTH(D2)/3,0)-1)=4,YEAR(D2)-1,YEAR(D2)) &amp; " Q" &amp; IF(ROUNDUP(MONTH(D2)/3,0)-1=0,4,ROUNDUP(MONTH(D2)/3,0)-1)</f>
        <v>2023 Q1</v>
      </c>
      <c r="F2" s="166" t="s">
        <v>132</v>
      </c>
    </row>
    <row r="3">
      <c r="A3" s="164" t="s">
        <v>158</v>
      </c>
      <c r="B3" s="165" t="s">
        <v>159</v>
      </c>
      <c r="C3" s="143">
        <f t="shared" si="1"/>
        <v>0.031746</v>
      </c>
      <c r="D3" s="143" t="str">
        <f t="shared" si="2"/>
        <v>15  marzo  2023</v>
      </c>
      <c r="E3" s="143" t="str">
        <f t="shared" si="3"/>
        <v>2022 Q4</v>
      </c>
    </row>
    <row r="4">
      <c r="A4" s="164" t="s">
        <v>160</v>
      </c>
      <c r="B4" s="165" t="s">
        <v>161</v>
      </c>
      <c r="C4" s="143">
        <f t="shared" si="1"/>
        <v>0.172035</v>
      </c>
      <c r="D4" s="143" t="str">
        <f t="shared" si="2"/>
        <v>10  marzo  2023</v>
      </c>
      <c r="E4" s="143" t="str">
        <f t="shared" si="3"/>
        <v>2022 Q4</v>
      </c>
    </row>
    <row r="5">
      <c r="A5" s="164" t="s">
        <v>162</v>
      </c>
      <c r="B5" s="165" t="s">
        <v>163</v>
      </c>
      <c r="C5" s="143">
        <f t="shared" si="1"/>
        <v>0.063574</v>
      </c>
      <c r="D5" s="143" t="str">
        <f t="shared" si="2"/>
        <v>8  marzo  2023</v>
      </c>
      <c r="E5" s="143" t="str">
        <f t="shared" si="3"/>
        <v>2022 Q4</v>
      </c>
    </row>
    <row r="6">
      <c r="A6" s="164" t="s">
        <v>164</v>
      </c>
      <c r="B6" s="165" t="s">
        <v>165</v>
      </c>
      <c r="C6" s="143">
        <f t="shared" si="1"/>
        <v>0.04401</v>
      </c>
      <c r="D6" s="143" t="str">
        <f t="shared" si="2"/>
        <v>3  marzo  2023</v>
      </c>
      <c r="E6" s="143" t="str">
        <f t="shared" si="3"/>
        <v>2022 Q4</v>
      </c>
    </row>
    <row r="7">
      <c r="A7" s="164" t="s">
        <v>166</v>
      </c>
      <c r="B7" s="165" t="s">
        <v>167</v>
      </c>
      <c r="C7" s="143">
        <f t="shared" si="1"/>
        <v>0.051636</v>
      </c>
      <c r="D7" s="143" t="str">
        <f t="shared" si="2"/>
        <v>1  marzo  2023</v>
      </c>
      <c r="E7" s="143" t="str">
        <f t="shared" si="3"/>
        <v>2022 Q4</v>
      </c>
    </row>
    <row r="8">
      <c r="A8" s="164" t="s">
        <v>168</v>
      </c>
      <c r="B8" s="165" t="s">
        <v>169</v>
      </c>
      <c r="C8" s="143">
        <f t="shared" si="1"/>
        <v>0.205899</v>
      </c>
      <c r="D8" s="143" t="str">
        <f t="shared" si="2"/>
        <v>15  febrero  2023</v>
      </c>
      <c r="E8" s="143" t="str">
        <f t="shared" si="3"/>
        <v>2022 Q4</v>
      </c>
    </row>
    <row r="9">
      <c r="A9" s="164" t="s">
        <v>170</v>
      </c>
      <c r="B9" s="165" t="s">
        <v>171</v>
      </c>
      <c r="C9" s="143">
        <f t="shared" si="1"/>
        <v>0.080577</v>
      </c>
      <c r="D9" s="143" t="str">
        <f t="shared" si="2"/>
        <v>30  enero  2023</v>
      </c>
      <c r="E9" s="143" t="str">
        <f t="shared" si="3"/>
        <v>2022 Q4</v>
      </c>
    </row>
    <row r="10">
      <c r="A10" s="164" t="s">
        <v>172</v>
      </c>
      <c r="B10" s="165" t="s">
        <v>173</v>
      </c>
      <c r="C10" s="143">
        <f t="shared" si="1"/>
        <v>0.019391</v>
      </c>
      <c r="D10" s="143" t="str">
        <f t="shared" si="2"/>
        <v>11  enero  2023</v>
      </c>
      <c r="E10" s="143" t="str">
        <f t="shared" si="3"/>
        <v>2022 Q4</v>
      </c>
    </row>
    <row r="11">
      <c r="A11" s="164" t="s">
        <v>174</v>
      </c>
      <c r="B11" s="165" t="s">
        <v>175</v>
      </c>
      <c r="C11" s="143">
        <f t="shared" si="1"/>
        <v>0.05108</v>
      </c>
      <c r="D11" s="143" t="str">
        <f t="shared" si="2"/>
        <v>11  noviembre  2022</v>
      </c>
      <c r="E11" s="143" t="str">
        <f t="shared" si="3"/>
        <v>2022 Q3</v>
      </c>
    </row>
    <row r="12">
      <c r="A12" s="164" t="s">
        <v>176</v>
      </c>
      <c r="B12" s="165" t="s">
        <v>177</v>
      </c>
      <c r="C12" s="143">
        <f t="shared" si="1"/>
        <v>0.20458</v>
      </c>
      <c r="D12" s="143" t="str">
        <f t="shared" si="2"/>
        <v>9  noviembre  2022</v>
      </c>
      <c r="E12" s="143" t="str">
        <f t="shared" si="3"/>
        <v>2022 Q3</v>
      </c>
    </row>
    <row r="13">
      <c r="A13" s="164" t="s">
        <v>178</v>
      </c>
      <c r="B13" s="165" t="s">
        <v>179</v>
      </c>
      <c r="C13" s="143">
        <f t="shared" si="1"/>
        <v>0.0376</v>
      </c>
      <c r="D13" s="143" t="str">
        <f t="shared" si="2"/>
        <v>28  octubre  2022</v>
      </c>
      <c r="E13" s="143" t="str">
        <f t="shared" si="3"/>
        <v>2022 Q3</v>
      </c>
    </row>
    <row r="14">
      <c r="A14" s="164" t="s">
        <v>180</v>
      </c>
      <c r="B14" s="165" t="s">
        <v>181</v>
      </c>
      <c r="C14" s="143">
        <f t="shared" si="1"/>
        <v>0.0666</v>
      </c>
      <c r="D14" s="143" t="str">
        <f t="shared" si="2"/>
        <v>28  septiembre  2022</v>
      </c>
      <c r="E14" s="143" t="str">
        <f t="shared" si="3"/>
        <v>2022 Q2</v>
      </c>
    </row>
    <row r="15">
      <c r="A15" s="164" t="s">
        <v>182</v>
      </c>
      <c r="B15" s="165" t="s">
        <v>183</v>
      </c>
      <c r="C15" s="143">
        <f t="shared" si="1"/>
        <v>0.0687</v>
      </c>
      <c r="D15" s="143" t="str">
        <f t="shared" si="2"/>
        <v>11  agosto  2022</v>
      </c>
      <c r="E15" s="143" t="str">
        <f t="shared" si="3"/>
        <v>2022 Q2</v>
      </c>
    </row>
    <row r="16">
      <c r="A16" s="164" t="s">
        <v>184</v>
      </c>
      <c r="B16" s="165" t="s">
        <v>185</v>
      </c>
      <c r="C16" s="143">
        <f t="shared" si="1"/>
        <v>0.17937</v>
      </c>
      <c r="D16" s="143" t="str">
        <f t="shared" si="2"/>
        <v>9  agosto  2022</v>
      </c>
      <c r="E16" s="143" t="str">
        <f t="shared" si="3"/>
        <v>2022 Q2</v>
      </c>
    </row>
    <row r="17">
      <c r="A17" s="164" t="s">
        <v>186</v>
      </c>
      <c r="B17" s="165" t="s">
        <v>187</v>
      </c>
      <c r="C17" s="143">
        <f t="shared" si="1"/>
        <v>0.0483</v>
      </c>
      <c r="D17" s="143" t="str">
        <f t="shared" si="2"/>
        <v>29  julio  2022</v>
      </c>
      <c r="E17" s="143" t="str">
        <f t="shared" si="3"/>
        <v>2022 Q2</v>
      </c>
    </row>
    <row r="18">
      <c r="A18" s="164" t="s">
        <v>188</v>
      </c>
      <c r="B18" s="165" t="s">
        <v>189</v>
      </c>
      <c r="C18" s="143">
        <f t="shared" si="1"/>
        <v>0.052</v>
      </c>
      <c r="D18" s="143" t="str">
        <f t="shared" si="2"/>
        <v>23  junio  2022</v>
      </c>
      <c r="E18" s="143" t="str">
        <f t="shared" si="3"/>
        <v>2022 Q1</v>
      </c>
    </row>
    <row r="19">
      <c r="A19" s="164" t="s">
        <v>190</v>
      </c>
      <c r="B19" s="165" t="s">
        <v>191</v>
      </c>
      <c r="C19" s="143">
        <f t="shared" si="1"/>
        <v>0.0066</v>
      </c>
      <c r="D19" s="143" t="str">
        <f t="shared" si="2"/>
        <v>31  mayo  2022</v>
      </c>
      <c r="E19" s="143" t="str">
        <f t="shared" si="3"/>
        <v>2022 Q1</v>
      </c>
    </row>
    <row r="20">
      <c r="A20" s="164" t="s">
        <v>192</v>
      </c>
      <c r="B20" s="165" t="s">
        <v>193</v>
      </c>
      <c r="C20" s="143">
        <f t="shared" si="1"/>
        <v>0.0513</v>
      </c>
      <c r="D20" s="143" t="str">
        <f t="shared" si="2"/>
        <v>12  mayo  2022</v>
      </c>
      <c r="E20" s="143" t="str">
        <f t="shared" si="3"/>
        <v>2022 Q1</v>
      </c>
    </row>
    <row r="21">
      <c r="A21" s="164" t="s">
        <v>194</v>
      </c>
      <c r="B21" s="165" t="s">
        <v>195</v>
      </c>
      <c r="C21" s="143">
        <f t="shared" si="1"/>
        <v>0.18025</v>
      </c>
      <c r="D21" s="143" t="str">
        <f t="shared" si="2"/>
        <v>10  mayo  2022</v>
      </c>
      <c r="E21" s="143" t="str">
        <f t="shared" si="3"/>
        <v>2022 Q1</v>
      </c>
    </row>
    <row r="22">
      <c r="A22" s="164" t="s">
        <v>196</v>
      </c>
      <c r="B22" s="165" t="s">
        <v>197</v>
      </c>
      <c r="C22" s="143">
        <f t="shared" si="1"/>
        <v>0.05324</v>
      </c>
      <c r="D22" s="143" t="str">
        <f t="shared" si="2"/>
        <v>29  abril  2022</v>
      </c>
      <c r="E22" s="143" t="str">
        <f t="shared" si="3"/>
        <v>2022 Q1</v>
      </c>
    </row>
    <row r="23">
      <c r="A23" s="164" t="s">
        <v>198</v>
      </c>
      <c r="B23" s="165" t="s">
        <v>199</v>
      </c>
      <c r="C23" s="143">
        <f t="shared" si="1"/>
        <v>0.1033</v>
      </c>
      <c r="D23" s="143" t="str">
        <f t="shared" si="2"/>
        <v>11  marzo  2022</v>
      </c>
      <c r="E23" s="143" t="str">
        <f t="shared" si="3"/>
        <v>2021 Q4</v>
      </c>
    </row>
    <row r="24">
      <c r="A24" s="164" t="s">
        <v>200</v>
      </c>
      <c r="B24" s="165" t="s">
        <v>201</v>
      </c>
      <c r="C24" s="143">
        <f t="shared" si="1"/>
        <v>0.07652</v>
      </c>
      <c r="D24" s="143" t="str">
        <f t="shared" si="2"/>
        <v>9  marzo  2022</v>
      </c>
      <c r="E24" s="143" t="str">
        <f t="shared" si="3"/>
        <v>2021 Q4</v>
      </c>
    </row>
    <row r="25">
      <c r="A25" s="164" t="s">
        <v>202</v>
      </c>
      <c r="B25" s="165" t="s">
        <v>203</v>
      </c>
      <c r="C25" s="143">
        <f t="shared" si="1"/>
        <v>0.14715</v>
      </c>
      <c r="D25" s="143" t="str">
        <f t="shared" si="2"/>
        <v>15  febrero  2022</v>
      </c>
      <c r="E25" s="143" t="str">
        <f t="shared" si="3"/>
        <v>2021 Q4</v>
      </c>
    </row>
    <row r="26">
      <c r="A26" s="164" t="s">
        <v>204</v>
      </c>
      <c r="B26" s="165" t="s">
        <v>205</v>
      </c>
      <c r="C26" s="143">
        <f t="shared" si="1"/>
        <v>0.1074</v>
      </c>
      <c r="D26" s="143" t="str">
        <f t="shared" si="2"/>
        <v>2  febrero  2022</v>
      </c>
      <c r="E26" s="143" t="str">
        <f t="shared" si="3"/>
        <v>2021 Q4</v>
      </c>
    </row>
    <row r="27">
      <c r="A27" s="164" t="s">
        <v>206</v>
      </c>
      <c r="B27" s="165" t="s">
        <v>207</v>
      </c>
      <c r="C27" s="143">
        <f t="shared" si="1"/>
        <v>0.0624</v>
      </c>
      <c r="D27" s="143" t="str">
        <f t="shared" si="2"/>
        <v>18  noviembre  2021</v>
      </c>
      <c r="E27" s="143" t="str">
        <f t="shared" si="3"/>
        <v>2021 Q3</v>
      </c>
    </row>
    <row r="28">
      <c r="A28" s="164" t="s">
        <v>208</v>
      </c>
      <c r="B28" s="165" t="s">
        <v>209</v>
      </c>
      <c r="C28" s="143">
        <f t="shared" si="1"/>
        <v>0.1342</v>
      </c>
      <c r="D28" s="143" t="str">
        <f t="shared" si="2"/>
        <v>11  noviembre  2021</v>
      </c>
      <c r="E28" s="143" t="str">
        <f t="shared" si="3"/>
        <v>2021 Q3</v>
      </c>
    </row>
    <row r="29">
      <c r="A29" s="164" t="s">
        <v>210</v>
      </c>
      <c r="B29" s="165" t="s">
        <v>179</v>
      </c>
      <c r="C29" s="143">
        <f t="shared" si="1"/>
        <v>0.0376</v>
      </c>
      <c r="D29" s="143" t="str">
        <f t="shared" si="2"/>
        <v>29  octubre  2021</v>
      </c>
      <c r="E29" s="143" t="str">
        <f t="shared" si="3"/>
        <v>2021 Q3</v>
      </c>
    </row>
    <row r="30">
      <c r="A30" s="164" t="s">
        <v>211</v>
      </c>
      <c r="B30" s="165" t="s">
        <v>212</v>
      </c>
      <c r="C30" s="143">
        <f t="shared" si="1"/>
        <v>0.06688</v>
      </c>
      <c r="D30" s="143" t="str">
        <f t="shared" si="2"/>
        <v>30  septiembre  2021</v>
      </c>
      <c r="E30" s="143" t="str">
        <f t="shared" si="3"/>
        <v>2021 Q2</v>
      </c>
    </row>
    <row r="31">
      <c r="A31" s="164" t="s">
        <v>213</v>
      </c>
      <c r="B31" s="165" t="s">
        <v>214</v>
      </c>
      <c r="C31" s="143">
        <f t="shared" si="1"/>
        <v>0.12434</v>
      </c>
      <c r="D31" s="143" t="str">
        <f t="shared" si="2"/>
        <v>9  agosto  2021</v>
      </c>
      <c r="E31" s="143" t="str">
        <f t="shared" si="3"/>
        <v>2021 Q2</v>
      </c>
    </row>
    <row r="32">
      <c r="A32" s="164" t="s">
        <v>215</v>
      </c>
      <c r="B32" s="165" t="s">
        <v>216</v>
      </c>
      <c r="C32" s="143">
        <f t="shared" si="1"/>
        <v>0.066578</v>
      </c>
      <c r="D32" s="143" t="str">
        <f t="shared" si="2"/>
        <v>6  agosto  2021</v>
      </c>
      <c r="E32" s="143" t="str">
        <f t="shared" si="3"/>
        <v>2021 Q2</v>
      </c>
    </row>
    <row r="33">
      <c r="A33" s="164" t="s">
        <v>217</v>
      </c>
      <c r="B33" s="165" t="s">
        <v>218</v>
      </c>
      <c r="C33" s="143">
        <f t="shared" si="1"/>
        <v>0.04177</v>
      </c>
      <c r="D33" s="143" t="str">
        <f t="shared" si="2"/>
        <v>30  julio  2021</v>
      </c>
      <c r="E33" s="143" t="str">
        <f t="shared" si="3"/>
        <v>2021 Q2</v>
      </c>
    </row>
    <row r="34">
      <c r="A34" s="164" t="s">
        <v>219</v>
      </c>
      <c r="B34" s="165" t="s">
        <v>220</v>
      </c>
      <c r="C34" s="143">
        <f t="shared" si="1"/>
        <v>0.052065</v>
      </c>
      <c r="D34" s="143" t="str">
        <f t="shared" si="2"/>
        <v>16  junio  2021</v>
      </c>
      <c r="E34" s="143" t="str">
        <f t="shared" si="3"/>
        <v>2021 Q1</v>
      </c>
    </row>
    <row r="35">
      <c r="A35" s="164" t="s">
        <v>221</v>
      </c>
      <c r="B35" s="165" t="s">
        <v>222</v>
      </c>
      <c r="C35" s="143">
        <f t="shared" si="1"/>
        <v>0.092978</v>
      </c>
      <c r="D35" s="143" t="str">
        <f t="shared" si="2"/>
        <v>14  mayo  2021</v>
      </c>
      <c r="E35" s="143" t="str">
        <f t="shared" si="3"/>
        <v>2021 Q1</v>
      </c>
    </row>
    <row r="36">
      <c r="A36" s="164" t="s">
        <v>223</v>
      </c>
      <c r="B36" s="165" t="s">
        <v>224</v>
      </c>
      <c r="C36" s="143">
        <f t="shared" si="1"/>
        <v>0.11584</v>
      </c>
      <c r="D36" s="143" t="str">
        <f t="shared" si="2"/>
        <v>10  mayo  2021</v>
      </c>
      <c r="E36" s="143" t="str">
        <f t="shared" si="3"/>
        <v>2021 Q1</v>
      </c>
    </row>
    <row r="37">
      <c r="A37" s="164" t="s">
        <v>225</v>
      </c>
      <c r="B37" s="165" t="s">
        <v>226</v>
      </c>
      <c r="C37" s="143">
        <f t="shared" si="1"/>
        <v>0.03558</v>
      </c>
      <c r="D37" s="143" t="str">
        <f t="shared" si="2"/>
        <v>6  mayo  2021</v>
      </c>
      <c r="E37" s="143" t="str">
        <f t="shared" si="3"/>
        <v>2021 Q1</v>
      </c>
    </row>
    <row r="38">
      <c r="A38" s="164" t="s">
        <v>227</v>
      </c>
      <c r="B38" s="165" t="s">
        <v>228</v>
      </c>
      <c r="C38" s="143">
        <f t="shared" si="1"/>
        <v>0.215421</v>
      </c>
      <c r="D38" s="143" t="str">
        <f t="shared" si="2"/>
        <v>19  marzo  2021</v>
      </c>
      <c r="E38" s="143" t="str">
        <f t="shared" si="3"/>
        <v>2020 Q4</v>
      </c>
    </row>
    <row r="39">
      <c r="A39" s="164" t="s">
        <v>229</v>
      </c>
      <c r="B39" s="165" t="s">
        <v>230</v>
      </c>
      <c r="C39" s="143">
        <f t="shared" si="1"/>
        <v>0.0949</v>
      </c>
      <c r="D39" s="143" t="str">
        <f t="shared" si="2"/>
        <v>11  febrero  2021</v>
      </c>
      <c r="E39" s="143" t="str">
        <f t="shared" si="3"/>
        <v>2020 Q4</v>
      </c>
    </row>
    <row r="40">
      <c r="A40" s="164" t="s">
        <v>231</v>
      </c>
      <c r="B40" s="165" t="s">
        <v>232</v>
      </c>
      <c r="C40" s="143">
        <f t="shared" si="1"/>
        <v>0.05255</v>
      </c>
      <c r="D40" s="143" t="str">
        <f t="shared" si="2"/>
        <v>29  enero  2021</v>
      </c>
      <c r="E40" s="143" t="str">
        <f t="shared" si="3"/>
        <v>2020 Q4</v>
      </c>
    </row>
    <row r="41">
      <c r="A41" s="164" t="s">
        <v>233</v>
      </c>
      <c r="B41" s="165" t="s">
        <v>234</v>
      </c>
      <c r="C41" s="143">
        <f t="shared" si="1"/>
        <v>0.00305</v>
      </c>
      <c r="D41" s="143" t="str">
        <f t="shared" si="2"/>
        <v>5  enero  2021</v>
      </c>
      <c r="E41" s="143" t="str">
        <f t="shared" si="3"/>
        <v>2020 Q4</v>
      </c>
    </row>
    <row r="42">
      <c r="A42" s="164" t="s">
        <v>235</v>
      </c>
      <c r="B42" s="165" t="s">
        <v>236</v>
      </c>
      <c r="C42" s="143">
        <f t="shared" si="1"/>
        <v>0.003746</v>
      </c>
      <c r="D42" s="143" t="str">
        <f t="shared" si="2"/>
        <v>11  diciembre  2020</v>
      </c>
      <c r="E42" s="143" t="str">
        <f t="shared" si="3"/>
        <v>2020 Q3</v>
      </c>
    </row>
    <row r="43">
      <c r="A43" s="164" t="s">
        <v>237</v>
      </c>
      <c r="B43" s="165" t="s">
        <v>238</v>
      </c>
      <c r="C43" s="143">
        <f t="shared" si="1"/>
        <v>0.04732</v>
      </c>
      <c r="D43" s="143" t="str">
        <f t="shared" si="2"/>
        <v>18  noviembre  2020</v>
      </c>
      <c r="E43" s="143" t="str">
        <f t="shared" si="3"/>
        <v>2020 Q3</v>
      </c>
    </row>
    <row r="44">
      <c r="A44" s="164" t="s">
        <v>239</v>
      </c>
      <c r="B44" s="165" t="s">
        <v>240</v>
      </c>
      <c r="C44" s="143">
        <f t="shared" si="1"/>
        <v>0.06038</v>
      </c>
      <c r="D44" s="143" t="str">
        <f t="shared" si="2"/>
        <v>11  noviembre  2020</v>
      </c>
      <c r="E44" s="143" t="str">
        <f t="shared" si="3"/>
        <v>2020 Q3</v>
      </c>
    </row>
    <row r="45">
      <c r="A45" s="164" t="s">
        <v>241</v>
      </c>
      <c r="B45" s="165" t="s">
        <v>242</v>
      </c>
      <c r="C45" s="143">
        <f t="shared" si="1"/>
        <v>0.09738</v>
      </c>
      <c r="D45" s="143" t="str">
        <f t="shared" si="2"/>
        <v>9  noviembre  2020</v>
      </c>
      <c r="E45" s="143" t="str">
        <f t="shared" si="3"/>
        <v>2020 Q3</v>
      </c>
    </row>
    <row r="46">
      <c r="A46" s="164" t="s">
        <v>243</v>
      </c>
      <c r="B46" s="165" t="s">
        <v>244</v>
      </c>
      <c r="C46" s="143">
        <f t="shared" si="1"/>
        <v>0.02766</v>
      </c>
      <c r="D46" s="143" t="str">
        <f t="shared" si="2"/>
        <v>4  noviembre  2020</v>
      </c>
      <c r="E46" s="143" t="str">
        <f t="shared" si="3"/>
        <v>2020 Q3</v>
      </c>
    </row>
    <row r="47">
      <c r="A47" s="164" t="s">
        <v>245</v>
      </c>
      <c r="B47" s="165" t="s">
        <v>246</v>
      </c>
      <c r="C47" s="143">
        <f t="shared" si="1"/>
        <v>0.00491</v>
      </c>
      <c r="D47" s="143" t="str">
        <f t="shared" si="2"/>
        <v>6  octubre  2020</v>
      </c>
      <c r="E47" s="143" t="str">
        <f t="shared" si="3"/>
        <v>2020 Q3</v>
      </c>
    </row>
    <row r="48">
      <c r="A48" s="164" t="s">
        <v>247</v>
      </c>
      <c r="B48" s="165" t="s">
        <v>248</v>
      </c>
      <c r="C48" s="143">
        <f t="shared" si="1"/>
        <v>0.053254</v>
      </c>
      <c r="D48" s="143" t="str">
        <f t="shared" si="2"/>
        <v>25  septiembre  2020</v>
      </c>
      <c r="E48" s="143" t="str">
        <f t="shared" si="3"/>
        <v>2020 Q2</v>
      </c>
    </row>
    <row r="49">
      <c r="A49" s="164" t="s">
        <v>249</v>
      </c>
      <c r="B49" s="165" t="s">
        <v>250</v>
      </c>
      <c r="C49" s="143">
        <f t="shared" si="1"/>
        <v>0.0564</v>
      </c>
      <c r="D49" s="143" t="str">
        <f t="shared" si="2"/>
        <v>14  agosto  2020</v>
      </c>
      <c r="E49" s="143" t="str">
        <f t="shared" si="3"/>
        <v>2020 Q2</v>
      </c>
    </row>
    <row r="50">
      <c r="A50" s="164" t="s">
        <v>251</v>
      </c>
      <c r="B50" s="165" t="s">
        <v>252</v>
      </c>
      <c r="C50" s="143">
        <f t="shared" si="1"/>
        <v>0.093906</v>
      </c>
      <c r="D50" s="143" t="str">
        <f t="shared" si="2"/>
        <v>10  agosto  2020</v>
      </c>
      <c r="E50" s="143" t="str">
        <f t="shared" si="3"/>
        <v>2020 Q2</v>
      </c>
    </row>
    <row r="51">
      <c r="A51" s="164" t="s">
        <v>253</v>
      </c>
      <c r="B51" s="165" t="s">
        <v>254</v>
      </c>
      <c r="C51" s="143">
        <f t="shared" si="1"/>
        <v>0.03109</v>
      </c>
      <c r="D51" s="143" t="str">
        <f t="shared" si="2"/>
        <v>29  julio  2020</v>
      </c>
      <c r="E51" s="143" t="str">
        <f t="shared" si="3"/>
        <v>2020 Q2</v>
      </c>
    </row>
    <row r="52">
      <c r="A52" s="164" t="s">
        <v>255</v>
      </c>
      <c r="B52" s="165" t="s">
        <v>256</v>
      </c>
      <c r="C52" s="143">
        <f t="shared" si="1"/>
        <v>0.08602</v>
      </c>
      <c r="D52" s="143" t="str">
        <f t="shared" si="2"/>
        <v>29  junio  2020</v>
      </c>
      <c r="E52" s="143" t="str">
        <f t="shared" si="3"/>
        <v>2020 Q1</v>
      </c>
    </row>
    <row r="53">
      <c r="A53" s="164" t="s">
        <v>257</v>
      </c>
      <c r="B53" s="165" t="s">
        <v>258</v>
      </c>
      <c r="C53" s="143">
        <f t="shared" si="1"/>
        <v>0.0548</v>
      </c>
      <c r="D53" s="143" t="str">
        <f t="shared" si="2"/>
        <v>15  junio  2020</v>
      </c>
      <c r="E53" s="143" t="str">
        <f t="shared" si="3"/>
        <v>2020 Q1</v>
      </c>
    </row>
    <row r="54">
      <c r="A54" s="164" t="s">
        <v>259</v>
      </c>
      <c r="B54" s="165" t="s">
        <v>260</v>
      </c>
      <c r="C54" s="143">
        <f t="shared" si="1"/>
        <v>0.117137</v>
      </c>
      <c r="D54" s="143" t="str">
        <f t="shared" si="2"/>
        <v>14  mayo  2020</v>
      </c>
      <c r="E54" s="143" t="str">
        <f t="shared" si="3"/>
        <v>2020 Q1</v>
      </c>
    </row>
    <row r="55">
      <c r="A55" s="164" t="s">
        <v>261</v>
      </c>
      <c r="B55" s="165" t="s">
        <v>262</v>
      </c>
      <c r="C55" s="143">
        <f t="shared" si="1"/>
        <v>0.066375</v>
      </c>
      <c r="D55" s="143" t="str">
        <f t="shared" si="2"/>
        <v>8  mayo  2020</v>
      </c>
      <c r="E55" s="143" t="str">
        <f t="shared" si="3"/>
        <v>2020 Q1</v>
      </c>
    </row>
    <row r="56">
      <c r="A56" s="164" t="s">
        <v>263</v>
      </c>
      <c r="B56" s="165" t="s">
        <v>264</v>
      </c>
      <c r="C56" s="143">
        <f t="shared" si="1"/>
        <v>0.154256</v>
      </c>
      <c r="D56" s="143" t="str">
        <f t="shared" si="2"/>
        <v>13  marzo  2020</v>
      </c>
      <c r="E56" s="143" t="str">
        <f t="shared" si="3"/>
        <v>2019 Q4</v>
      </c>
    </row>
    <row r="57">
      <c r="A57" s="164" t="s">
        <v>265</v>
      </c>
      <c r="B57" s="165" t="s">
        <v>266</v>
      </c>
      <c r="C57" s="143">
        <f t="shared" si="1"/>
        <v>0.064892</v>
      </c>
      <c r="D57" s="143" t="str">
        <f t="shared" si="2"/>
        <v>9  marzo  2020</v>
      </c>
      <c r="E57" s="143" t="str">
        <f t="shared" si="3"/>
        <v>2019 Q4</v>
      </c>
    </row>
    <row r="58">
      <c r="A58" s="164" t="s">
        <v>267</v>
      </c>
      <c r="B58" s="165" t="s">
        <v>268</v>
      </c>
      <c r="C58" s="143">
        <f t="shared" si="1"/>
        <v>0.096994</v>
      </c>
      <c r="D58" s="143" t="str">
        <f t="shared" si="2"/>
        <v>12  febrero  2020</v>
      </c>
      <c r="E58" s="143" t="str">
        <f t="shared" si="3"/>
        <v>2019 Q4</v>
      </c>
    </row>
    <row r="59">
      <c r="A59" s="164" t="s">
        <v>269</v>
      </c>
      <c r="B59" s="165" t="s">
        <v>270</v>
      </c>
      <c r="C59" s="143">
        <f t="shared" si="1"/>
        <v>0.044641</v>
      </c>
      <c r="D59" s="143" t="str">
        <f t="shared" si="2"/>
        <v>7  febrero  2020</v>
      </c>
      <c r="E59" s="143" t="str">
        <f t="shared" si="3"/>
        <v>2019 Q4</v>
      </c>
    </row>
    <row r="60">
      <c r="A60" s="164" t="s">
        <v>271</v>
      </c>
      <c r="B60" s="165" t="s">
        <v>272</v>
      </c>
      <c r="C60" s="143">
        <f t="shared" si="1"/>
        <v>0.053093</v>
      </c>
      <c r="D60" s="143" t="str">
        <f t="shared" si="2"/>
        <v>30  enero  2020</v>
      </c>
      <c r="E60" s="143" t="str">
        <f t="shared" si="3"/>
        <v>2019 Q4</v>
      </c>
    </row>
    <row r="61">
      <c r="A61" s="164" t="s">
        <v>273</v>
      </c>
      <c r="B61" s="165" t="s">
        <v>274</v>
      </c>
      <c r="C61" s="143">
        <f t="shared" si="1"/>
        <v>0.000682</v>
      </c>
      <c r="D61" s="143" t="str">
        <f t="shared" si="2"/>
        <v>19  noviembre  2019</v>
      </c>
      <c r="E61" s="143" t="str">
        <f t="shared" si="3"/>
        <v>2019 Q3</v>
      </c>
    </row>
    <row r="62">
      <c r="A62" s="164" t="s">
        <v>275</v>
      </c>
      <c r="B62" s="165" t="s">
        <v>276</v>
      </c>
      <c r="C62" s="143">
        <f t="shared" si="1"/>
        <v>0.301367</v>
      </c>
      <c r="D62" s="143" t="str">
        <f t="shared" si="2"/>
        <v>13  noviembre  2019</v>
      </c>
      <c r="E62" s="143" t="str">
        <f t="shared" si="3"/>
        <v>2019 Q3</v>
      </c>
    </row>
    <row r="63">
      <c r="A63" s="164" t="s">
        <v>277</v>
      </c>
      <c r="B63" s="165" t="s">
        <v>278</v>
      </c>
      <c r="C63" s="143">
        <f t="shared" si="1"/>
        <v>0.04215</v>
      </c>
      <c r="D63" s="143" t="str">
        <f t="shared" si="2"/>
        <v>31  octubre  2019</v>
      </c>
      <c r="E63" s="143" t="str">
        <f t="shared" si="3"/>
        <v>2019 Q3</v>
      </c>
    </row>
    <row r="64">
      <c r="A64" s="164" t="s">
        <v>279</v>
      </c>
      <c r="B64" s="165" t="s">
        <v>280</v>
      </c>
      <c r="C64" s="143">
        <f t="shared" si="1"/>
        <v>0.058122</v>
      </c>
      <c r="D64" s="143" t="str">
        <f t="shared" si="2"/>
        <v>26  septiembre  2019</v>
      </c>
      <c r="E64" s="143" t="str">
        <f t="shared" si="3"/>
        <v>2019 Q2</v>
      </c>
    </row>
    <row r="65">
      <c r="A65" s="164" t="s">
        <v>281</v>
      </c>
      <c r="B65" s="165" t="s">
        <v>282</v>
      </c>
      <c r="C65" s="143">
        <f t="shared" si="1"/>
        <v>0.000799</v>
      </c>
      <c r="D65" s="143" t="str">
        <f t="shared" si="2"/>
        <v>16  agosto  2019</v>
      </c>
      <c r="E65" s="143" t="str">
        <f t="shared" si="3"/>
        <v>2019 Q2</v>
      </c>
    </row>
    <row r="66">
      <c r="A66" s="164" t="s">
        <v>283</v>
      </c>
      <c r="B66" s="165" t="s">
        <v>284</v>
      </c>
      <c r="C66" s="143">
        <f t="shared" si="1"/>
        <v>0.264021</v>
      </c>
      <c r="D66" s="143" t="str">
        <f t="shared" si="2"/>
        <v>9  agosto  2019</v>
      </c>
      <c r="E66" s="143" t="str">
        <f t="shared" si="3"/>
        <v>2019 Q2</v>
      </c>
    </row>
    <row r="67">
      <c r="A67" s="164" t="s">
        <v>285</v>
      </c>
      <c r="B67" s="165" t="s">
        <v>286</v>
      </c>
      <c r="C67" s="143">
        <f t="shared" si="1"/>
        <v>0.026637</v>
      </c>
      <c r="D67" s="143" t="str">
        <f t="shared" si="2"/>
        <v>6  agosto  2019</v>
      </c>
      <c r="E67" s="143" t="str">
        <f t="shared" si="3"/>
        <v>2019 Q2</v>
      </c>
    </row>
    <row r="68">
      <c r="A68" s="164" t="s">
        <v>287</v>
      </c>
      <c r="B68" s="165" t="s">
        <v>288</v>
      </c>
      <c r="C68" s="143">
        <f t="shared" si="1"/>
        <v>0.002681</v>
      </c>
      <c r="D68" s="143" t="str">
        <f t="shared" si="2"/>
        <v>5  agosto  2019</v>
      </c>
      <c r="E68" s="143" t="str">
        <f t="shared" si="3"/>
        <v>2019 Q2</v>
      </c>
    </row>
    <row r="69">
      <c r="A69" s="164" t="s">
        <v>289</v>
      </c>
      <c r="B69" s="165" t="s">
        <v>290</v>
      </c>
      <c r="C69" s="143">
        <f t="shared" si="1"/>
        <v>0.041419</v>
      </c>
      <c r="D69" s="143" t="str">
        <f t="shared" si="2"/>
        <v>31  julio  2019</v>
      </c>
      <c r="E69" s="143" t="str">
        <f t="shared" si="3"/>
        <v>2019 Q2</v>
      </c>
    </row>
    <row r="70">
      <c r="A70" s="164" t="s">
        <v>291</v>
      </c>
      <c r="B70" s="165" t="s">
        <v>292</v>
      </c>
      <c r="C70" s="143">
        <f t="shared" si="1"/>
        <v>0.083003</v>
      </c>
      <c r="D70" s="143" t="str">
        <f t="shared" si="2"/>
        <v>14  junio  2019</v>
      </c>
      <c r="E70" s="143" t="str">
        <f t="shared" si="3"/>
        <v>2019 Q1</v>
      </c>
    </row>
    <row r="71">
      <c r="A71" s="164" t="s">
        <v>293</v>
      </c>
      <c r="B71" s="165" t="s">
        <v>294</v>
      </c>
      <c r="C71" s="143">
        <f t="shared" si="1"/>
        <v>0.0142</v>
      </c>
      <c r="D71" s="143" t="str">
        <f t="shared" si="2"/>
        <v>17  mayo  2019</v>
      </c>
      <c r="E71" s="143" t="str">
        <f t="shared" si="3"/>
        <v>2019 Q1</v>
      </c>
    </row>
    <row r="72">
      <c r="A72" s="164" t="s">
        <v>295</v>
      </c>
      <c r="B72" s="165" t="s">
        <v>296</v>
      </c>
      <c r="C72" s="143">
        <f t="shared" si="1"/>
        <v>0.002355</v>
      </c>
      <c r="D72" s="143" t="str">
        <f t="shared" si="2"/>
        <v>16  mayo  2019</v>
      </c>
      <c r="E72" s="143" t="str">
        <f t="shared" si="3"/>
        <v>2019 Q1</v>
      </c>
    </row>
    <row r="73">
      <c r="A73" s="164" t="s">
        <v>297</v>
      </c>
      <c r="B73" s="165" t="s">
        <v>298</v>
      </c>
      <c r="C73" s="143">
        <f t="shared" si="1"/>
        <v>0.106114</v>
      </c>
      <c r="D73" s="143" t="str">
        <f t="shared" si="2"/>
        <v>13  mayo  2019</v>
      </c>
      <c r="E73" s="143" t="str">
        <f t="shared" si="3"/>
        <v>2019 Q1</v>
      </c>
    </row>
    <row r="74">
      <c r="A74" s="164" t="s">
        <v>297</v>
      </c>
      <c r="B74" s="165" t="s">
        <v>299</v>
      </c>
      <c r="C74" s="143">
        <f t="shared" si="1"/>
        <v>0.079487</v>
      </c>
      <c r="D74" s="143" t="str">
        <f t="shared" si="2"/>
        <v>13  mayo  2019</v>
      </c>
      <c r="E74" s="143" t="str">
        <f t="shared" si="3"/>
        <v>2019 Q1</v>
      </c>
    </row>
    <row r="75">
      <c r="A75" s="164" t="s">
        <v>300</v>
      </c>
      <c r="B75" s="165" t="s">
        <v>301</v>
      </c>
      <c r="C75" s="143">
        <f t="shared" si="1"/>
        <v>0.067458</v>
      </c>
      <c r="D75" s="143" t="str">
        <f t="shared" si="2"/>
        <v>10  mayo  2019</v>
      </c>
      <c r="E75" s="143" t="str">
        <f t="shared" si="3"/>
        <v>2019 Q1</v>
      </c>
    </row>
    <row r="76">
      <c r="A76" s="164" t="s">
        <v>302</v>
      </c>
      <c r="B76" s="165" t="s">
        <v>303</v>
      </c>
      <c r="C76" s="143">
        <f t="shared" si="1"/>
        <v>0.031102</v>
      </c>
      <c r="D76" s="143" t="str">
        <f t="shared" si="2"/>
        <v>30  abril  2019</v>
      </c>
      <c r="E76" s="143" t="str">
        <f t="shared" si="3"/>
        <v>2019 Q1</v>
      </c>
    </row>
    <row r="77">
      <c r="A77" s="164" t="s">
        <v>304</v>
      </c>
      <c r="B77" s="165" t="s">
        <v>305</v>
      </c>
      <c r="C77" s="143">
        <f t="shared" si="1"/>
        <v>0.029646</v>
      </c>
      <c r="D77" s="143" t="str">
        <f t="shared" si="2"/>
        <v>22  marzo  2019</v>
      </c>
      <c r="E77" s="143" t="str">
        <f t="shared" si="3"/>
        <v>2018 Q4</v>
      </c>
    </row>
    <row r="78">
      <c r="A78" s="164" t="s">
        <v>306</v>
      </c>
      <c r="B78" s="165" t="s">
        <v>307</v>
      </c>
      <c r="C78" s="143">
        <f t="shared" si="1"/>
        <v>0.002765</v>
      </c>
      <c r="D78" s="143" t="str">
        <f t="shared" si="2"/>
        <v>15  marzo  2019</v>
      </c>
      <c r="E78" s="143" t="str">
        <f t="shared" si="3"/>
        <v>2018 Q4</v>
      </c>
    </row>
    <row r="79">
      <c r="A79" s="164" t="s">
        <v>308</v>
      </c>
      <c r="B79" s="165" t="s">
        <v>309</v>
      </c>
      <c r="C79" s="143">
        <f t="shared" si="1"/>
        <v>0.082215</v>
      </c>
      <c r="D79" s="143" t="str">
        <f t="shared" si="2"/>
        <v>13  marzo  2019</v>
      </c>
      <c r="E79" s="143" t="str">
        <f t="shared" si="3"/>
        <v>2018 Q4</v>
      </c>
    </row>
    <row r="80">
      <c r="A80" s="164" t="s">
        <v>308</v>
      </c>
      <c r="B80" s="165" t="s">
        <v>310</v>
      </c>
      <c r="C80" s="143">
        <f t="shared" si="1"/>
        <v>0.104358</v>
      </c>
      <c r="D80" s="143" t="str">
        <f t="shared" si="2"/>
        <v>13  marzo  2019</v>
      </c>
      <c r="E80" s="143" t="str">
        <f t="shared" si="3"/>
        <v>2018 Q4</v>
      </c>
    </row>
    <row r="81">
      <c r="A81" s="164" t="s">
        <v>311</v>
      </c>
      <c r="B81" s="165" t="s">
        <v>312</v>
      </c>
      <c r="C81" s="143">
        <f t="shared" si="1"/>
        <v>0.050954</v>
      </c>
      <c r="D81" s="143" t="str">
        <f t="shared" si="2"/>
        <v>11  marzo  2019</v>
      </c>
      <c r="E81" s="143" t="str">
        <f t="shared" si="3"/>
        <v>2018 Q4</v>
      </c>
    </row>
    <row r="82">
      <c r="A82" s="164" t="s">
        <v>313</v>
      </c>
      <c r="B82" s="165" t="s">
        <v>314</v>
      </c>
      <c r="C82" s="143">
        <f t="shared" si="1"/>
        <v>0.004158</v>
      </c>
      <c r="D82" s="143" t="str">
        <f t="shared" si="2"/>
        <v>4  marzo  2019</v>
      </c>
      <c r="E82" s="143" t="str">
        <f t="shared" si="3"/>
        <v>2018 Q4</v>
      </c>
    </row>
    <row r="83">
      <c r="A83" s="164" t="s">
        <v>315</v>
      </c>
      <c r="B83" s="165" t="s">
        <v>316</v>
      </c>
      <c r="C83" s="143">
        <f t="shared" si="1"/>
        <v>0.105316</v>
      </c>
      <c r="D83" s="143" t="str">
        <f t="shared" si="2"/>
        <v>8  febrero  2019</v>
      </c>
      <c r="E83" s="143" t="str">
        <f t="shared" si="3"/>
        <v>2018 Q4</v>
      </c>
    </row>
    <row r="84">
      <c r="A84" s="164" t="s">
        <v>317</v>
      </c>
      <c r="B84" s="165" t="s">
        <v>318</v>
      </c>
      <c r="C84" s="143">
        <f t="shared" si="1"/>
        <v>0.03116</v>
      </c>
      <c r="D84" s="143" t="str">
        <f t="shared" si="2"/>
        <v>22  noviembre  2018</v>
      </c>
      <c r="E84" s="143" t="str">
        <f t="shared" si="3"/>
        <v>2018 Q3</v>
      </c>
    </row>
    <row r="85">
      <c r="A85" s="164" t="s">
        <v>319</v>
      </c>
      <c r="B85" s="165" t="s">
        <v>320</v>
      </c>
      <c r="C85" s="143">
        <f t="shared" si="1"/>
        <v>0.003151</v>
      </c>
      <c r="D85" s="143" t="str">
        <f t="shared" si="2"/>
        <v>14  noviembre  2018</v>
      </c>
      <c r="E85" s="143" t="str">
        <f t="shared" si="3"/>
        <v>2018 Q3</v>
      </c>
    </row>
    <row r="86">
      <c r="A86" s="164" t="s">
        <v>321</v>
      </c>
      <c r="B86" s="165" t="s">
        <v>322</v>
      </c>
      <c r="C86" s="143">
        <f t="shared" si="1"/>
        <v>0.171927</v>
      </c>
      <c r="D86" s="143" t="str">
        <f t="shared" si="2"/>
        <v>9  noviembre  2018</v>
      </c>
      <c r="E86" s="143" t="str">
        <f t="shared" si="3"/>
        <v>2018 Q3</v>
      </c>
    </row>
    <row r="87">
      <c r="A87" s="164" t="s">
        <v>323</v>
      </c>
      <c r="B87" s="165" t="s">
        <v>324</v>
      </c>
      <c r="C87" s="143">
        <f t="shared" si="1"/>
        <v>0.155543</v>
      </c>
      <c r="D87" s="143" t="str">
        <f t="shared" si="2"/>
        <v>8  noviembre  2018</v>
      </c>
      <c r="E87" s="143" t="str">
        <f t="shared" si="3"/>
        <v>2018 Q3</v>
      </c>
    </row>
    <row r="88">
      <c r="A88" s="164" t="s">
        <v>325</v>
      </c>
      <c r="B88" s="165" t="s">
        <v>326</v>
      </c>
      <c r="C88" s="143">
        <f t="shared" si="1"/>
        <v>0.025236</v>
      </c>
      <c r="D88" s="143" t="str">
        <f t="shared" si="2"/>
        <v>5  noviembre  2018</v>
      </c>
      <c r="E88" s="143" t="str">
        <f t="shared" si="3"/>
        <v>2018 Q3</v>
      </c>
    </row>
    <row r="89">
      <c r="A89" s="164" t="s">
        <v>327</v>
      </c>
      <c r="B89" s="165" t="s">
        <v>328</v>
      </c>
      <c r="C89" s="143">
        <f t="shared" si="1"/>
        <v>0.040118</v>
      </c>
      <c r="D89" s="143" t="str">
        <f t="shared" si="2"/>
        <v>31  octubre  2018</v>
      </c>
      <c r="E89" s="143" t="str">
        <f t="shared" si="3"/>
        <v>2018 Q3</v>
      </c>
    </row>
    <row r="90">
      <c r="A90" s="164" t="s">
        <v>329</v>
      </c>
      <c r="B90" s="165" t="s">
        <v>330</v>
      </c>
      <c r="C90" s="143">
        <f t="shared" si="1"/>
        <v>0.003677</v>
      </c>
      <c r="D90" s="143" t="str">
        <f t="shared" si="2"/>
        <v>16  agosto  2018</v>
      </c>
      <c r="E90" s="143" t="str">
        <f t="shared" si="3"/>
        <v>2018 Q2</v>
      </c>
    </row>
    <row r="91">
      <c r="A91" s="164" t="s">
        <v>331</v>
      </c>
      <c r="B91" s="165" t="s">
        <v>332</v>
      </c>
      <c r="C91" s="143">
        <f t="shared" si="1"/>
        <v>0.197436</v>
      </c>
      <c r="D91" s="143" t="str">
        <f t="shared" si="2"/>
        <v>10  agosto  2018</v>
      </c>
      <c r="E91" s="143" t="str">
        <f t="shared" si="3"/>
        <v>2018 Q2</v>
      </c>
    </row>
    <row r="92">
      <c r="A92" s="164" t="s">
        <v>333</v>
      </c>
      <c r="B92" s="165" t="s">
        <v>334</v>
      </c>
      <c r="C92" s="143">
        <f t="shared" si="1"/>
        <v>0.124042</v>
      </c>
      <c r="D92" s="143" t="str">
        <f t="shared" si="2"/>
        <v>9  agosto  2018</v>
      </c>
      <c r="E92" s="143" t="str">
        <f t="shared" si="3"/>
        <v>2018 Q2</v>
      </c>
    </row>
    <row r="93">
      <c r="A93" s="164" t="s">
        <v>335</v>
      </c>
      <c r="B93" s="165" t="s">
        <v>336</v>
      </c>
      <c r="C93" s="143">
        <f t="shared" si="1"/>
        <v>0.004763</v>
      </c>
      <c r="D93" s="143" t="str">
        <f t="shared" si="2"/>
        <v>6  agosto  2018</v>
      </c>
      <c r="E93" s="143" t="str">
        <f t="shared" si="3"/>
        <v>2018 Q2</v>
      </c>
    </row>
    <row r="94">
      <c r="A94" s="164" t="s">
        <v>337</v>
      </c>
      <c r="B94" s="165" t="s">
        <v>338</v>
      </c>
      <c r="C94" s="143">
        <f t="shared" si="1"/>
        <v>0</v>
      </c>
      <c r="D94" s="143" t="str">
        <f t="shared" si="2"/>
        <v>27  julio  2018</v>
      </c>
      <c r="E94" s="143" t="str">
        <f t="shared" si="3"/>
        <v>2018 Q2</v>
      </c>
    </row>
    <row r="95">
      <c r="A95" s="164" t="s">
        <v>339</v>
      </c>
      <c r="B95" s="165" t="s">
        <v>340</v>
      </c>
      <c r="C95" s="143">
        <f t="shared" si="1"/>
        <v>0.00419</v>
      </c>
      <c r="D95" s="143" t="str">
        <f t="shared" si="2"/>
        <v>16  mayo  2018</v>
      </c>
      <c r="E95" s="143" t="str">
        <f t="shared" si="3"/>
        <v>2018 Q1</v>
      </c>
    </row>
    <row r="96">
      <c r="A96" s="164" t="s">
        <v>341</v>
      </c>
      <c r="B96" s="165" t="s">
        <v>342</v>
      </c>
      <c r="C96" s="143">
        <f t="shared" si="1"/>
        <v>0.21</v>
      </c>
      <c r="D96" s="143" t="str">
        <f t="shared" si="2"/>
        <v>10  mayo  2018</v>
      </c>
      <c r="E96" s="143" t="str">
        <f t="shared" si="3"/>
        <v>2018 Q1</v>
      </c>
    </row>
    <row r="97">
      <c r="A97" s="164" t="s">
        <v>343</v>
      </c>
      <c r="B97" s="165" t="s">
        <v>344</v>
      </c>
      <c r="C97" s="143">
        <f t="shared" si="1"/>
        <v>0.09</v>
      </c>
      <c r="D97" s="143" t="str">
        <f t="shared" si="2"/>
        <v>9  mayo  2018</v>
      </c>
      <c r="E97" s="143" t="str">
        <f t="shared" si="3"/>
        <v>2018 Q1</v>
      </c>
    </row>
    <row r="98">
      <c r="A98" s="164" t="s">
        <v>345</v>
      </c>
      <c r="B98" s="165" t="s">
        <v>346</v>
      </c>
      <c r="C98" s="143">
        <f t="shared" si="1"/>
        <v>0.01</v>
      </c>
      <c r="D98" s="143" t="str">
        <f t="shared" si="2"/>
        <v>7  mayo  2018</v>
      </c>
      <c r="E98" s="143" t="str">
        <f t="shared" si="3"/>
        <v>2018 Q1</v>
      </c>
    </row>
    <row r="99">
      <c r="A99" s="164" t="s">
        <v>347</v>
      </c>
      <c r="B99" s="165" t="s">
        <v>348</v>
      </c>
      <c r="C99" s="143">
        <f t="shared" si="1"/>
        <v>0.046668</v>
      </c>
      <c r="D99" s="143" t="str">
        <f t="shared" si="2"/>
        <v>2  mayo  2018</v>
      </c>
      <c r="E99" s="143" t="str">
        <f t="shared" si="3"/>
        <v>2018 Q1</v>
      </c>
    </row>
    <row r="100">
      <c r="A100" s="164" t="s">
        <v>349</v>
      </c>
      <c r="B100" s="165" t="s">
        <v>350</v>
      </c>
      <c r="C100" s="143">
        <f t="shared" si="1"/>
        <v>0.010651</v>
      </c>
      <c r="D100" s="143" t="str">
        <f t="shared" si="2"/>
        <v>27  abril  2018</v>
      </c>
      <c r="E100" s="143" t="str">
        <f t="shared" si="3"/>
        <v>2018 Q1</v>
      </c>
    </row>
    <row r="101">
      <c r="A101" s="164" t="s">
        <v>351</v>
      </c>
      <c r="B101" s="165" t="s">
        <v>352</v>
      </c>
      <c r="C101" s="143">
        <f t="shared" si="1"/>
        <v>0.046265</v>
      </c>
      <c r="D101" s="143" t="str">
        <f t="shared" si="2"/>
        <v>16  marzo  2018</v>
      </c>
      <c r="E101" s="143" t="str">
        <f t="shared" si="3"/>
        <v>2017 Q4</v>
      </c>
    </row>
    <row r="102">
      <c r="A102" s="164" t="s">
        <v>353</v>
      </c>
      <c r="B102" s="165" t="s">
        <v>354</v>
      </c>
      <c r="C102" s="143">
        <f t="shared" si="1"/>
        <v>0.003328</v>
      </c>
      <c r="D102" s="143" t="str">
        <f t="shared" si="2"/>
        <v>15  marzo  2018</v>
      </c>
      <c r="E102" s="143" t="str">
        <f t="shared" si="3"/>
        <v>2017 Q4</v>
      </c>
    </row>
    <row r="103">
      <c r="A103" s="164" t="s">
        <v>355</v>
      </c>
      <c r="B103" s="165" t="s">
        <v>344</v>
      </c>
      <c r="C103" s="143">
        <f t="shared" si="1"/>
        <v>0.09</v>
      </c>
      <c r="D103" s="143" t="str">
        <f t="shared" si="2"/>
        <v>13  marzo  2018</v>
      </c>
      <c r="E103" s="143" t="str">
        <f t="shared" si="3"/>
        <v>2017 Q4</v>
      </c>
    </row>
    <row r="104">
      <c r="A104" s="164" t="s">
        <v>355</v>
      </c>
      <c r="B104" s="165" t="s">
        <v>356</v>
      </c>
      <c r="C104" s="143">
        <f t="shared" si="1"/>
        <v>0.02</v>
      </c>
      <c r="D104" s="143" t="str">
        <f t="shared" si="2"/>
        <v>13  marzo  2018</v>
      </c>
      <c r="E104" s="143" t="str">
        <f t="shared" si="3"/>
        <v>2017 Q4</v>
      </c>
    </row>
    <row r="105">
      <c r="A105" s="164" t="s">
        <v>357</v>
      </c>
      <c r="B105" s="165" t="s">
        <v>344</v>
      </c>
      <c r="C105" s="143">
        <f t="shared" si="1"/>
        <v>0.09</v>
      </c>
      <c r="D105" s="143" t="str">
        <f t="shared" si="2"/>
        <v>9  marzo  2018</v>
      </c>
      <c r="E105" s="143" t="str">
        <f t="shared" si="3"/>
        <v>2017 Q4</v>
      </c>
    </row>
    <row r="106">
      <c r="A106" s="164" t="s">
        <v>358</v>
      </c>
      <c r="B106" s="165" t="s">
        <v>346</v>
      </c>
      <c r="C106" s="143">
        <f t="shared" si="1"/>
        <v>0.01</v>
      </c>
      <c r="D106" s="143" t="str">
        <f t="shared" si="2"/>
        <v>5  marzo  2018</v>
      </c>
      <c r="E106" s="143" t="str">
        <f t="shared" si="3"/>
        <v>2017 Q4</v>
      </c>
    </row>
    <row r="107">
      <c r="A107" s="164" t="s">
        <v>359</v>
      </c>
      <c r="B107" s="165" t="s">
        <v>360</v>
      </c>
      <c r="C107" s="143">
        <f t="shared" si="1"/>
        <v>0.088824</v>
      </c>
      <c r="D107" s="143" t="str">
        <f t="shared" si="2"/>
        <v>12  febrero  2018</v>
      </c>
      <c r="E107" s="143" t="str">
        <f t="shared" si="3"/>
        <v>2017 Q4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14.57"/>
    <col customWidth="1" min="3" max="3" width="11.71"/>
    <col customWidth="1" min="4" max="4" width="14.71"/>
    <col customWidth="1" min="5" max="26" width="10.71"/>
  </cols>
  <sheetData>
    <row r="1" ht="13.5" customHeight="1">
      <c r="A1" s="159" t="s">
        <v>122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  <c r="G1" s="159" t="s">
        <v>361</v>
      </c>
      <c r="H1" s="159" t="s">
        <v>362</v>
      </c>
      <c r="I1" s="159" t="s">
        <v>363</v>
      </c>
      <c r="J1" s="159" t="s">
        <v>364</v>
      </c>
      <c r="K1" s="159" t="s">
        <v>365</v>
      </c>
      <c r="L1" s="159" t="s">
        <v>366</v>
      </c>
      <c r="M1" s="159" t="s">
        <v>367</v>
      </c>
      <c r="N1" s="159" t="s">
        <v>368</v>
      </c>
      <c r="O1" s="159" t="s">
        <v>369</v>
      </c>
      <c r="P1" s="159" t="s">
        <v>370</v>
      </c>
      <c r="Q1" s="159" t="s">
        <v>371</v>
      </c>
      <c r="R1" s="159" t="s">
        <v>372</v>
      </c>
    </row>
    <row r="2" ht="13.5" customHeight="1">
      <c r="A2" s="160" t="s">
        <v>373</v>
      </c>
      <c r="B2" s="167">
        <v>5.706059E9</v>
      </c>
      <c r="C2" s="167">
        <v>5.316395E9</v>
      </c>
      <c r="D2" s="167">
        <v>5.419708E9</v>
      </c>
      <c r="E2" s="167">
        <v>5.215475E9</v>
      </c>
      <c r="F2" s="167">
        <v>5.214485E9</v>
      </c>
      <c r="G2" s="167">
        <v>5.271302E9</v>
      </c>
      <c r="H2" s="167">
        <v>4.89438E9</v>
      </c>
      <c r="I2" s="167">
        <v>4.802116E9</v>
      </c>
      <c r="J2" s="167">
        <v>4.901841E9</v>
      </c>
      <c r="K2" s="167">
        <v>4.70299E9</v>
      </c>
      <c r="L2" s="167">
        <v>4.38971E9</v>
      </c>
      <c r="M2" s="167">
        <v>3.8862E9</v>
      </c>
      <c r="N2" s="167">
        <v>4.637904E9</v>
      </c>
      <c r="O2" s="167">
        <v>4.567731E9</v>
      </c>
      <c r="P2" s="167">
        <v>4.1772E9</v>
      </c>
      <c r="Q2" s="167">
        <v>4.2276E9</v>
      </c>
      <c r="R2" s="167">
        <v>4.051022E9</v>
      </c>
    </row>
    <row r="3" ht="13.5" customHeight="1">
      <c r="A3" s="168" t="s">
        <v>374</v>
      </c>
      <c r="B3" s="167">
        <v>6.377591E9</v>
      </c>
      <c r="C3" s="167">
        <v>6.231561E9</v>
      </c>
      <c r="D3" s="167">
        <v>6.018427E9</v>
      </c>
      <c r="E3" s="167">
        <v>5.801324E9</v>
      </c>
      <c r="F3" s="167">
        <v>5.849374E9</v>
      </c>
      <c r="G3" s="167">
        <v>5.818087E9</v>
      </c>
      <c r="H3" s="167">
        <v>5.395586E9</v>
      </c>
      <c r="I3" s="167">
        <v>5.285546E9</v>
      </c>
      <c r="J3" s="167">
        <v>5.369491E9</v>
      </c>
      <c r="K3" s="167">
        <v>5.191427E9</v>
      </c>
      <c r="L3" s="167">
        <v>4.5343E9</v>
      </c>
      <c r="M3" s="167">
        <v>4.298271E9</v>
      </c>
      <c r="N3" s="167">
        <v>5.169237E9</v>
      </c>
      <c r="O3" s="167">
        <v>5.093101E9</v>
      </c>
      <c r="P3" s="167">
        <v>4.7559E9</v>
      </c>
      <c r="Q3" s="167">
        <v>4.7369E9</v>
      </c>
      <c r="R3" s="167">
        <v>4.6032E9</v>
      </c>
    </row>
    <row r="4" ht="13.5" customHeight="1">
      <c r="A4" s="168" t="s">
        <v>375</v>
      </c>
      <c r="B4" s="167">
        <v>5.0001E9</v>
      </c>
      <c r="C4" s="167">
        <v>4.8721E9</v>
      </c>
      <c r="D4" s="167">
        <v>4.785E9</v>
      </c>
      <c r="E4" s="167">
        <v>4.5467E9</v>
      </c>
      <c r="F4" s="167">
        <v>4.616E9</v>
      </c>
      <c r="G4" s="167">
        <v>4.6044E9</v>
      </c>
      <c r="H4" s="167">
        <v>4.3561E9</v>
      </c>
      <c r="I4" s="167">
        <v>4.2411E9</v>
      </c>
      <c r="J4" s="167">
        <v>4.2201E9</v>
      </c>
      <c r="K4" s="167">
        <v>4.1125E9</v>
      </c>
      <c r="L4" s="167">
        <v>3.4083E9</v>
      </c>
      <c r="M4" s="167">
        <v>3.245E9</v>
      </c>
      <c r="N4" s="167">
        <v>4.1601E9</v>
      </c>
      <c r="O4" s="167">
        <v>4.024E9</v>
      </c>
      <c r="P4" s="167">
        <v>3.7746E9</v>
      </c>
      <c r="Q4" s="167">
        <v>3.7473E9</v>
      </c>
      <c r="R4" s="167">
        <v>3.6677E9</v>
      </c>
    </row>
    <row r="5" ht="13.5" customHeight="1">
      <c r="A5" s="168" t="s">
        <v>38</v>
      </c>
      <c r="B5" s="169">
        <v>0.784</v>
      </c>
      <c r="C5" s="169">
        <v>0.7818</v>
      </c>
      <c r="D5" s="169">
        <v>0.7951</v>
      </c>
      <c r="E5" s="169">
        <v>0.7837</v>
      </c>
      <c r="F5" s="169">
        <v>0.7891</v>
      </c>
      <c r="G5" s="169">
        <v>0.7914</v>
      </c>
      <c r="H5" s="169">
        <v>0.8073</v>
      </c>
      <c r="I5" s="169">
        <v>0.8024</v>
      </c>
      <c r="J5" s="169">
        <v>0.7859</v>
      </c>
      <c r="K5" s="169">
        <v>0.7868</v>
      </c>
      <c r="L5" s="169">
        <v>0.7517</v>
      </c>
      <c r="M5" s="169">
        <v>0.755</v>
      </c>
      <c r="N5" s="169">
        <v>0.8048</v>
      </c>
      <c r="O5" s="169">
        <v>0.7901</v>
      </c>
      <c r="P5" s="169">
        <v>0.7937</v>
      </c>
      <c r="Q5" s="169">
        <v>0.7911</v>
      </c>
      <c r="R5" s="169">
        <v>0.7968</v>
      </c>
    </row>
    <row r="6" ht="13.5" customHeight="1">
      <c r="A6" s="168" t="s">
        <v>376</v>
      </c>
      <c r="B6" s="167">
        <v>2.2197E9</v>
      </c>
      <c r="C6" s="167">
        <v>2.2494E9</v>
      </c>
      <c r="D6" s="167">
        <v>2.2754E9</v>
      </c>
      <c r="E6" s="167">
        <v>2.3417E9</v>
      </c>
      <c r="F6" s="167">
        <v>2.3849E9</v>
      </c>
      <c r="G6" s="167">
        <v>2.5389E9</v>
      </c>
      <c r="H6" s="167">
        <v>2.2218E9</v>
      </c>
      <c r="I6" s="167">
        <v>2.1797E9</v>
      </c>
      <c r="J6" s="167">
        <v>2.059E9</v>
      </c>
      <c r="K6" s="167">
        <v>1.8285E9</v>
      </c>
      <c r="L6" s="167">
        <v>1.1463E9</v>
      </c>
      <c r="M6" s="167">
        <v>1.0034E9</v>
      </c>
      <c r="N6" s="167">
        <v>2.2818E9</v>
      </c>
      <c r="O6" s="167">
        <v>2.4756E9</v>
      </c>
      <c r="P6" s="167">
        <v>2.2207E9</v>
      </c>
      <c r="Q6" s="167">
        <v>2.2062E9</v>
      </c>
      <c r="R6" s="167">
        <v>2.2184E9</v>
      </c>
    </row>
    <row r="7" ht="13.5" customHeight="1">
      <c r="A7" s="168" t="s">
        <v>377</v>
      </c>
      <c r="B7" s="169">
        <v>0.348</v>
      </c>
      <c r="C7" s="169">
        <v>0.361</v>
      </c>
      <c r="D7" s="169">
        <v>0.3781</v>
      </c>
      <c r="E7" s="169">
        <v>0.4036</v>
      </c>
      <c r="F7" s="169">
        <v>0.4077</v>
      </c>
      <c r="G7" s="169">
        <v>0.4364</v>
      </c>
      <c r="H7" s="169">
        <v>0.4118</v>
      </c>
      <c r="I7" s="169">
        <v>0.4124</v>
      </c>
      <c r="J7" s="169">
        <v>0.3835</v>
      </c>
      <c r="K7" s="169">
        <v>0.3522</v>
      </c>
      <c r="L7" s="169">
        <v>0.2528</v>
      </c>
      <c r="M7" s="169">
        <v>0.2334</v>
      </c>
      <c r="N7" s="169">
        <v>0.4414</v>
      </c>
      <c r="O7" s="169">
        <v>0.4861</v>
      </c>
      <c r="P7" s="169">
        <v>0.4669</v>
      </c>
      <c r="Q7" s="169">
        <v>0.4657</v>
      </c>
      <c r="R7" s="169">
        <v>0.4819</v>
      </c>
    </row>
    <row r="8" ht="13.5" customHeight="1">
      <c r="A8" s="168" t="s">
        <v>378</v>
      </c>
      <c r="B8" s="161">
        <v>0.59</v>
      </c>
      <c r="C8" s="161">
        <v>0.6</v>
      </c>
      <c r="D8" s="161">
        <v>0.6</v>
      </c>
      <c r="E8" s="161">
        <v>0.62</v>
      </c>
      <c r="F8" s="161">
        <v>0.63</v>
      </c>
      <c r="G8" s="161">
        <v>0.67</v>
      </c>
      <c r="H8" s="161">
        <v>0.58</v>
      </c>
      <c r="I8" s="161">
        <v>0.57</v>
      </c>
      <c r="J8" s="161">
        <v>0.54</v>
      </c>
      <c r="K8" s="161">
        <v>0.47</v>
      </c>
      <c r="L8" s="161">
        <v>0.3</v>
      </c>
      <c r="M8" s="161">
        <v>0.26</v>
      </c>
      <c r="N8" s="161">
        <v>0.58</v>
      </c>
      <c r="O8" s="161">
        <v>0.63</v>
      </c>
      <c r="P8" s="161">
        <v>0.57</v>
      </c>
      <c r="Q8" s="161">
        <v>0.57</v>
      </c>
      <c r="R8" s="161">
        <v>0.57</v>
      </c>
    </row>
    <row r="9" ht="13.5" customHeight="1">
      <c r="A9" s="168" t="s">
        <v>379</v>
      </c>
      <c r="B9" s="167">
        <v>1.4704089E9</v>
      </c>
      <c r="C9" s="167">
        <v>4.1825972E9</v>
      </c>
      <c r="D9" s="161">
        <v>2.1385361E9</v>
      </c>
      <c r="E9" s="161">
        <v>1.99040366389E9</v>
      </c>
      <c r="F9" s="167">
        <v>1.9080171E9</v>
      </c>
      <c r="G9" s="161">
        <v>2.59501999932E9</v>
      </c>
      <c r="H9" s="161">
        <v>1.40599999963E9</v>
      </c>
      <c r="I9" s="161">
        <v>1.26416394249E9</v>
      </c>
      <c r="J9" s="161">
        <v>1.25347333832E9</v>
      </c>
      <c r="K9" s="161">
        <v>1.2078063642E9</v>
      </c>
      <c r="L9" s="161">
        <v>1.22820598289E9</v>
      </c>
      <c r="M9" s="161">
        <v>1.10382258228E9</v>
      </c>
      <c r="N9" s="161">
        <v>1.14074760817E9</v>
      </c>
      <c r="O9" s="161">
        <v>2.31724178395E9</v>
      </c>
      <c r="P9" s="161">
        <v>2.29799363215E9</v>
      </c>
      <c r="Q9" s="161">
        <v>2.27027077901E9</v>
      </c>
      <c r="R9" s="161">
        <v>2.25860043574E9</v>
      </c>
    </row>
    <row r="10" ht="13.5" customHeight="1">
      <c r="A10" s="168" t="s">
        <v>380</v>
      </c>
      <c r="B10" s="170">
        <f t="array" ref="B10">IF(SUMIFS(INDIRECT("'"&amp;A$1&amp;"_DIV'!"&amp;"C:C"),INDIRECT("'"&amp;A$1&amp;"_DIV'!"&amp;"E:E"),B1)=0,"",SUMIFS(INDIRECT("'"&amp;A$1&amp;"_DIV'!"&amp;"C:C"),INDIRECT("'"&amp;A$1&amp;"_DIV'!"&amp;"E:E"),B1))</f>
        <v>0.389133</v>
      </c>
      <c r="C10" s="170">
        <f t="array" ref="C10">SUMIFS(INDIRECT("'"&amp;A$1&amp;"_DIV'!"&amp;"C:C"),INDIRECT("'"&amp;A$1&amp;"_DIV'!"&amp;"E:E"),C1)</f>
        <v>1.106778</v>
      </c>
      <c r="D10" s="170">
        <f t="array" ref="D10">SUMIFS(INDIRECT("'"&amp;A$1&amp;"_DIV'!"&amp;"C:C"),INDIRECT("'"&amp;A$1&amp;"_DIV'!"&amp;"E:E"),D1)</f>
        <v>0.5659</v>
      </c>
      <c r="E10" s="170">
        <f t="array" ref="E10">SUMIFS(INDIRECT("'"&amp;A$1&amp;"_DIV'!"&amp;"C:C"),INDIRECT("'"&amp;A$1&amp;"_DIV'!"&amp;"E:E"),E1)</f>
        <v>0.523632</v>
      </c>
      <c r="F10" s="170">
        <f t="array" ref="F10">SUMIFS(INDIRECT("'"&amp;A$1&amp;"_DIV'!"&amp;"C:C"),INDIRECT("'"&amp;A$1&amp;"_DIV'!"&amp;"E:E"),F1)</f>
        <v>0.50488</v>
      </c>
      <c r="G10" s="170">
        <v>0.68</v>
      </c>
      <c r="H10" s="161">
        <v>0.37</v>
      </c>
      <c r="I10" s="161">
        <v>0.33</v>
      </c>
      <c r="J10" s="161">
        <v>0.33</v>
      </c>
      <c r="K10" s="161">
        <v>0.31</v>
      </c>
      <c r="L10" s="161">
        <v>0.32</v>
      </c>
      <c r="M10" s="161">
        <v>0.28</v>
      </c>
      <c r="N10" s="161">
        <v>0.29</v>
      </c>
      <c r="O10" s="161">
        <v>0.59</v>
      </c>
      <c r="P10" s="161">
        <v>0.58</v>
      </c>
      <c r="Q10" s="161">
        <v>0.58</v>
      </c>
      <c r="R10" s="161">
        <v>0.58</v>
      </c>
    </row>
    <row r="11" ht="13.5" customHeight="1">
      <c r="A11" s="168" t="s">
        <v>381</v>
      </c>
      <c r="B11" s="171">
        <v>3.779E9</v>
      </c>
      <c r="C11" s="171">
        <v>3.779E9</v>
      </c>
      <c r="D11" s="171">
        <v>3.779E9</v>
      </c>
      <c r="E11" s="171">
        <v>3.801382093E9</v>
      </c>
      <c r="F11" s="171">
        <v>3.779E9</v>
      </c>
      <c r="G11" s="171">
        <v>3.799999999E9</v>
      </c>
      <c r="H11" s="171">
        <v>3.799999999E9</v>
      </c>
      <c r="I11" s="171">
        <v>3.818072916E9</v>
      </c>
      <c r="J11" s="171">
        <v>3.818072916E9</v>
      </c>
      <c r="K11" s="171">
        <v>3.872415403E9</v>
      </c>
      <c r="L11" s="171">
        <v>3.874466823E9</v>
      </c>
      <c r="M11" s="171">
        <v>3.928194243E9</v>
      </c>
      <c r="N11" s="171">
        <v>3.928194243E9</v>
      </c>
      <c r="O11" s="171">
        <v>3.928194243E9</v>
      </c>
      <c r="P11" s="171">
        <v>3.928194243E9</v>
      </c>
      <c r="Q11" s="171">
        <v>3.890114426E9</v>
      </c>
      <c r="R11" s="171">
        <v>3.890114426E9</v>
      </c>
    </row>
    <row r="12" ht="13.5" customHeight="1">
      <c r="A12" s="172" t="s">
        <v>382</v>
      </c>
      <c r="B12" s="173">
        <v>0.0636</v>
      </c>
      <c r="C12" s="173">
        <v>0.0625</v>
      </c>
      <c r="D12" s="173">
        <v>0.0621</v>
      </c>
      <c r="E12" s="173"/>
      <c r="F12" s="173"/>
      <c r="G12" s="173"/>
      <c r="H12" s="173"/>
      <c r="I12" s="173"/>
      <c r="J12" s="173"/>
      <c r="K12" s="173"/>
    </row>
    <row r="13" ht="13.5" customHeight="1">
      <c r="A13" s="174" t="s">
        <v>383</v>
      </c>
      <c r="B13" s="175" t="s">
        <v>384</v>
      </c>
      <c r="C13" s="176" t="s">
        <v>385</v>
      </c>
      <c r="D13" s="176">
        <v>9.058263E10</v>
      </c>
      <c r="E13" s="176"/>
      <c r="F13" s="176"/>
      <c r="G13" s="176"/>
      <c r="H13" s="176"/>
      <c r="I13" s="176"/>
      <c r="J13" s="176"/>
      <c r="K13" s="176"/>
    </row>
    <row r="14" ht="13.5" customHeight="1">
      <c r="A14" s="174" t="s">
        <v>386</v>
      </c>
      <c r="B14" s="177">
        <v>-0.4872</v>
      </c>
      <c r="C14" s="173">
        <v>-0.4632</v>
      </c>
      <c r="D14" s="173">
        <v>-0.4828</v>
      </c>
      <c r="E14" s="173"/>
      <c r="F14" s="173"/>
      <c r="G14" s="173"/>
      <c r="H14" s="173"/>
      <c r="I14" s="173"/>
      <c r="J14" s="173"/>
      <c r="K14" s="173"/>
    </row>
    <row r="15" ht="13.5" customHeight="1">
      <c r="A15" s="174" t="s">
        <v>387</v>
      </c>
      <c r="B15" s="177">
        <v>0.4</v>
      </c>
      <c r="C15" s="173">
        <v>0.4151</v>
      </c>
      <c r="D15" s="173">
        <v>0.4338</v>
      </c>
      <c r="F15" s="178"/>
      <c r="G15" s="178"/>
      <c r="H15" s="178"/>
      <c r="I15" s="178"/>
      <c r="J15" s="178"/>
      <c r="K15" s="178"/>
    </row>
    <row r="16" ht="13.5" customHeight="1">
      <c r="A16" s="174" t="s">
        <v>388</v>
      </c>
      <c r="B16" s="177">
        <v>0.0607</v>
      </c>
      <c r="C16" s="173">
        <v>0.0602</v>
      </c>
      <c r="D16" s="178">
        <v>0.0944</v>
      </c>
      <c r="E16" s="173"/>
      <c r="F16" s="173"/>
      <c r="G16" s="173"/>
      <c r="H16" s="173"/>
      <c r="I16" s="173"/>
      <c r="J16" s="173"/>
      <c r="K16" s="173"/>
    </row>
    <row r="17" ht="13.5" customHeight="1">
      <c r="A17" s="179" t="s">
        <v>389</v>
      </c>
      <c r="B17" s="180">
        <v>50.02</v>
      </c>
      <c r="C17" s="180">
        <v>49.26</v>
      </c>
      <c r="D17" s="180">
        <v>46.35</v>
      </c>
      <c r="E17" s="180"/>
      <c r="F17" s="180"/>
      <c r="G17" s="180"/>
      <c r="H17" s="180"/>
      <c r="I17" s="180"/>
      <c r="J17" s="180"/>
      <c r="K17" s="180"/>
    </row>
    <row r="18" ht="13.5" customHeight="1">
      <c r="A18" s="179" t="s">
        <v>390</v>
      </c>
      <c r="B18" s="173">
        <v>0.1131</v>
      </c>
      <c r="C18" s="173">
        <v>0.1056</v>
      </c>
      <c r="D18" s="173">
        <v>0.1086</v>
      </c>
      <c r="E18" s="173"/>
      <c r="F18" s="173"/>
      <c r="G18" s="173"/>
      <c r="H18" s="173"/>
      <c r="I18" s="173"/>
      <c r="J18" s="173"/>
      <c r="K18" s="173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57"/>
    <col customWidth="1" min="5" max="5" width="12.0"/>
    <col customWidth="1" min="6" max="6" width="14.71"/>
  </cols>
  <sheetData>
    <row r="1">
      <c r="A1" s="181" t="s">
        <v>129</v>
      </c>
      <c r="B1" s="182" t="s">
        <v>155</v>
      </c>
      <c r="C1" s="183"/>
      <c r="D1" s="184"/>
      <c r="E1" s="184"/>
    </row>
    <row r="2">
      <c r="A2" s="185" t="s">
        <v>391</v>
      </c>
      <c r="B2" s="186" t="s">
        <v>392</v>
      </c>
      <c r="C2" s="187">
        <f t="shared" ref="C2:C27" si="1">VALUE(SUBSTITUTE(SUBSTITUTE(B2,"MXN $",""),"",""))</f>
        <v>0.389133</v>
      </c>
      <c r="D2" s="188" t="str">
        <f t="shared" ref="D2:D27" si="2">SUBSTITUTE(SUBSTITUTE(A2,"de",""),"","")</f>
        <v>9  mayo  2023</v>
      </c>
      <c r="E2" s="189" t="str">
        <f t="shared" ref="E2:E27" si="3">IF(IF(ROUNDUP(MONTH(D2)/3,0)-1=0,4,ROUNDUP(MONTH(D2)/3,0)-1)=4,YEAR(D2)-1,YEAR(D2)) &amp; " Q" &amp; IF(ROUNDUP(MONTH(D2)/3,0)-1=0,4,ROUNDUP(MONTH(D2)/3,0)-1)</f>
        <v>2023 Q1</v>
      </c>
      <c r="F2" s="166" t="s">
        <v>132</v>
      </c>
    </row>
    <row r="3">
      <c r="A3" s="185" t="s">
        <v>158</v>
      </c>
      <c r="B3" s="186" t="s">
        <v>393</v>
      </c>
      <c r="C3" s="187">
        <f t="shared" si="1"/>
        <v>0.155412</v>
      </c>
      <c r="D3" s="188" t="str">
        <f t="shared" si="2"/>
        <v>15  marzo  2023</v>
      </c>
      <c r="E3" s="189" t="str">
        <f t="shared" si="3"/>
        <v>2022 Q4</v>
      </c>
      <c r="F3" s="166" t="s">
        <v>132</v>
      </c>
    </row>
    <row r="4">
      <c r="A4" s="185" t="s">
        <v>394</v>
      </c>
      <c r="B4" s="186" t="s">
        <v>395</v>
      </c>
      <c r="C4" s="187">
        <f t="shared" si="1"/>
        <v>0.951366</v>
      </c>
      <c r="D4" s="188" t="str">
        <f t="shared" si="2"/>
        <v>10  febrero  2023</v>
      </c>
      <c r="E4" s="189" t="str">
        <f t="shared" si="3"/>
        <v>2022 Q4</v>
      </c>
      <c r="F4" s="166" t="s">
        <v>132</v>
      </c>
    </row>
    <row r="5">
      <c r="A5" s="185" t="s">
        <v>176</v>
      </c>
      <c r="B5" s="186" t="s">
        <v>396</v>
      </c>
      <c r="C5" s="187">
        <f t="shared" si="1"/>
        <v>0.5659</v>
      </c>
      <c r="D5" s="188" t="str">
        <f t="shared" si="2"/>
        <v>9  noviembre  2022</v>
      </c>
      <c r="E5" s="189" t="str">
        <f t="shared" si="3"/>
        <v>2022 Q3</v>
      </c>
    </row>
    <row r="6">
      <c r="A6" s="185" t="s">
        <v>184</v>
      </c>
      <c r="B6" s="186" t="s">
        <v>397</v>
      </c>
      <c r="C6" s="187">
        <f t="shared" si="1"/>
        <v>0.523632</v>
      </c>
      <c r="D6" s="188" t="str">
        <f t="shared" si="2"/>
        <v>9  agosto  2022</v>
      </c>
      <c r="E6" s="189" t="str">
        <f t="shared" si="3"/>
        <v>2022 Q2</v>
      </c>
    </row>
    <row r="7">
      <c r="A7" s="185" t="s">
        <v>398</v>
      </c>
      <c r="B7" s="186" t="s">
        <v>399</v>
      </c>
      <c r="C7" s="187">
        <f t="shared" si="1"/>
        <v>0.50488</v>
      </c>
      <c r="D7" s="188" t="str">
        <f t="shared" si="2"/>
        <v>9  mayo  2022</v>
      </c>
      <c r="E7" s="189" t="str">
        <f t="shared" si="3"/>
        <v>2022 Q1</v>
      </c>
    </row>
    <row r="8">
      <c r="A8" s="185" t="s">
        <v>400</v>
      </c>
      <c r="B8" s="186" t="s">
        <v>401</v>
      </c>
      <c r="C8" s="187">
        <f t="shared" si="1"/>
        <v>0.682855</v>
      </c>
      <c r="D8" s="188" t="str">
        <f t="shared" si="2"/>
        <v>9  febrero  2022</v>
      </c>
      <c r="E8" s="189" t="str">
        <f t="shared" si="3"/>
        <v>2021 Q4</v>
      </c>
    </row>
    <row r="9">
      <c r="A9" s="185" t="s">
        <v>402</v>
      </c>
      <c r="B9" s="186" t="s">
        <v>403</v>
      </c>
      <c r="C9" s="187">
        <f t="shared" si="1"/>
        <v>0.296</v>
      </c>
      <c r="D9" s="188" t="str">
        <f t="shared" si="2"/>
        <v>9  noviembre  2021</v>
      </c>
      <c r="E9" s="189" t="str">
        <f t="shared" si="3"/>
        <v>2021 Q3</v>
      </c>
    </row>
    <row r="10">
      <c r="A10" s="185" t="s">
        <v>402</v>
      </c>
      <c r="B10" s="186" t="s">
        <v>404</v>
      </c>
      <c r="C10" s="187">
        <f t="shared" si="1"/>
        <v>0.074</v>
      </c>
      <c r="D10" s="188" t="str">
        <f t="shared" si="2"/>
        <v>9  noviembre  2021</v>
      </c>
      <c r="E10" s="189" t="str">
        <f t="shared" si="3"/>
        <v>2021 Q3</v>
      </c>
    </row>
    <row r="11">
      <c r="A11" s="185" t="s">
        <v>213</v>
      </c>
      <c r="B11" s="186" t="s">
        <v>405</v>
      </c>
      <c r="C11" s="187">
        <f t="shared" si="1"/>
        <v>0.218526</v>
      </c>
      <c r="D11" s="188" t="str">
        <f t="shared" si="2"/>
        <v>9  agosto  2021</v>
      </c>
      <c r="E11" s="189" t="str">
        <f t="shared" si="3"/>
        <v>2021 Q2</v>
      </c>
    </row>
    <row r="12">
      <c r="A12" s="185" t="s">
        <v>213</v>
      </c>
      <c r="B12" s="186" t="s">
        <v>406</v>
      </c>
      <c r="C12" s="187">
        <f t="shared" si="1"/>
        <v>0.112574</v>
      </c>
      <c r="D12" s="188" t="str">
        <f t="shared" si="2"/>
        <v>9  agosto  2021</v>
      </c>
      <c r="E12" s="189" t="str">
        <f t="shared" si="3"/>
        <v>2021 Q2</v>
      </c>
    </row>
    <row r="13">
      <c r="A13" s="185" t="s">
        <v>223</v>
      </c>
      <c r="B13" s="186" t="s">
        <v>407</v>
      </c>
      <c r="C13" s="187">
        <f t="shared" si="1"/>
        <v>0.328345</v>
      </c>
      <c r="D13" s="188" t="str">
        <f t="shared" si="2"/>
        <v>10  mayo  2021</v>
      </c>
      <c r="E13" s="189" t="str">
        <f t="shared" si="3"/>
        <v>2021 Q1</v>
      </c>
    </row>
    <row r="14">
      <c r="A14" s="185" t="s">
        <v>408</v>
      </c>
      <c r="B14" s="186" t="s">
        <v>409</v>
      </c>
      <c r="C14" s="187">
        <f t="shared" si="1"/>
        <v>0.311912</v>
      </c>
      <c r="D14" s="188" t="str">
        <f t="shared" si="2"/>
        <v>9  febrero  2021</v>
      </c>
      <c r="E14" s="189" t="str">
        <f t="shared" si="3"/>
        <v>2020 Q4</v>
      </c>
    </row>
    <row r="15">
      <c r="A15" s="185" t="s">
        <v>410</v>
      </c>
      <c r="B15" s="186" t="s">
        <v>411</v>
      </c>
      <c r="C15" s="187">
        <f t="shared" si="1"/>
        <v>0.26614</v>
      </c>
      <c r="D15" s="188" t="str">
        <f t="shared" si="2"/>
        <v>10  noviembre  2020</v>
      </c>
      <c r="E15" s="189" t="str">
        <f t="shared" si="3"/>
        <v>2020 Q3</v>
      </c>
    </row>
    <row r="16">
      <c r="A16" s="185" t="s">
        <v>410</v>
      </c>
      <c r="B16" s="186" t="s">
        <v>412</v>
      </c>
      <c r="C16" s="187">
        <f t="shared" si="1"/>
        <v>0.034808</v>
      </c>
      <c r="D16" s="188" t="str">
        <f t="shared" si="2"/>
        <v>10  noviembre  2020</v>
      </c>
      <c r="E16" s="189" t="str">
        <f t="shared" si="3"/>
        <v>2020 Q3</v>
      </c>
    </row>
    <row r="17">
      <c r="A17" s="185" t="s">
        <v>251</v>
      </c>
      <c r="B17" s="186" t="s">
        <v>413</v>
      </c>
      <c r="C17" s="187">
        <f t="shared" si="1"/>
        <v>0.280974</v>
      </c>
      <c r="D17" s="188" t="str">
        <f t="shared" si="2"/>
        <v>10  agosto  2020</v>
      </c>
      <c r="E17" s="189" t="str">
        <f t="shared" si="3"/>
        <v>2020 Q2</v>
      </c>
    </row>
    <row r="18">
      <c r="A18" s="185" t="s">
        <v>414</v>
      </c>
      <c r="B18" s="186" t="s">
        <v>415</v>
      </c>
      <c r="C18" s="187">
        <f t="shared" si="1"/>
        <v>0.290435</v>
      </c>
      <c r="D18" s="188" t="str">
        <f t="shared" si="2"/>
        <v>11  mayo  2020</v>
      </c>
      <c r="E18" s="189" t="str">
        <f t="shared" si="3"/>
        <v>2020 Q1</v>
      </c>
    </row>
    <row r="19">
      <c r="A19" s="185" t="s">
        <v>416</v>
      </c>
      <c r="B19" s="186" t="s">
        <v>417</v>
      </c>
      <c r="C19" s="187">
        <f t="shared" si="1"/>
        <v>0.59</v>
      </c>
      <c r="D19" s="188" t="str">
        <f t="shared" si="2"/>
        <v>11  febrero  2020</v>
      </c>
      <c r="E19" s="189" t="str">
        <f t="shared" si="3"/>
        <v>2019 Q4</v>
      </c>
    </row>
    <row r="20">
      <c r="A20" s="185" t="s">
        <v>418</v>
      </c>
      <c r="B20" s="186" t="s">
        <v>419</v>
      </c>
      <c r="C20" s="187">
        <f t="shared" si="1"/>
        <v>0.585</v>
      </c>
      <c r="D20" s="188" t="str">
        <f t="shared" si="2"/>
        <v>8  noviembre  2019</v>
      </c>
      <c r="E20" s="189" t="str">
        <f t="shared" si="3"/>
        <v>2019 Q3</v>
      </c>
    </row>
    <row r="21">
      <c r="A21" s="185" t="s">
        <v>283</v>
      </c>
      <c r="B21" s="186" t="s">
        <v>420</v>
      </c>
      <c r="C21" s="187">
        <f t="shared" si="1"/>
        <v>0.5836</v>
      </c>
      <c r="D21" s="188" t="str">
        <f t="shared" si="2"/>
        <v>9  agosto  2019</v>
      </c>
      <c r="E21" s="189" t="str">
        <f t="shared" si="3"/>
        <v>2019 Q2</v>
      </c>
    </row>
    <row r="22">
      <c r="A22" s="185" t="s">
        <v>421</v>
      </c>
      <c r="B22" s="186" t="s">
        <v>422</v>
      </c>
      <c r="C22" s="187">
        <f t="shared" si="1"/>
        <v>0.580552</v>
      </c>
      <c r="D22" s="188" t="str">
        <f t="shared" si="2"/>
        <v>9  mayo  2019</v>
      </c>
      <c r="E22" s="189" t="str">
        <f t="shared" si="3"/>
        <v>2019 Q1</v>
      </c>
    </row>
    <row r="23">
      <c r="A23" s="185" t="s">
        <v>315</v>
      </c>
      <c r="B23" s="186" t="s">
        <v>423</v>
      </c>
      <c r="C23" s="187">
        <f t="shared" si="1"/>
        <v>0.5755</v>
      </c>
      <c r="D23" s="188" t="str">
        <f t="shared" si="2"/>
        <v>8  febrero  2019</v>
      </c>
      <c r="E23" s="189" t="str">
        <f t="shared" si="3"/>
        <v>2018 Q4</v>
      </c>
    </row>
    <row r="24">
      <c r="A24" s="185" t="s">
        <v>321</v>
      </c>
      <c r="B24" s="186" t="s">
        <v>424</v>
      </c>
      <c r="C24" s="187">
        <f t="shared" si="1"/>
        <v>0.554984</v>
      </c>
      <c r="D24" s="188" t="str">
        <f t="shared" si="2"/>
        <v>9  noviembre  2018</v>
      </c>
      <c r="E24" s="189" t="str">
        <f t="shared" si="3"/>
        <v>2018 Q3</v>
      </c>
    </row>
    <row r="25">
      <c r="A25" s="185" t="s">
        <v>333</v>
      </c>
      <c r="B25" s="186" t="s">
        <v>425</v>
      </c>
      <c r="C25" s="187">
        <f t="shared" si="1"/>
        <v>0.540109</v>
      </c>
      <c r="D25" s="188" t="str">
        <f t="shared" si="2"/>
        <v>9  agosto  2018</v>
      </c>
      <c r="E25" s="189" t="str">
        <f t="shared" si="3"/>
        <v>2018 Q2</v>
      </c>
    </row>
    <row r="26">
      <c r="A26" s="185" t="s">
        <v>359</v>
      </c>
      <c r="B26" s="186" t="s">
        <v>426</v>
      </c>
      <c r="C26" s="187">
        <f t="shared" si="1"/>
        <v>0.1</v>
      </c>
      <c r="D26" s="188" t="str">
        <f t="shared" si="2"/>
        <v>12  febrero  2018</v>
      </c>
      <c r="E26" s="189" t="str">
        <f t="shared" si="3"/>
        <v>2017 Q4</v>
      </c>
    </row>
    <row r="27">
      <c r="A27" s="185" t="s">
        <v>359</v>
      </c>
      <c r="B27" s="186" t="s">
        <v>427</v>
      </c>
      <c r="C27" s="187">
        <f t="shared" si="1"/>
        <v>0.330498</v>
      </c>
      <c r="D27" s="188" t="str">
        <f t="shared" si="2"/>
        <v>12  febrero  2018</v>
      </c>
      <c r="E27" s="189" t="str">
        <f t="shared" si="3"/>
        <v>2017 Q4</v>
      </c>
    </row>
    <row r="28">
      <c r="C28" s="190"/>
    </row>
    <row r="29">
      <c r="C29" s="190"/>
    </row>
    <row r="30">
      <c r="C30" s="190"/>
    </row>
    <row r="31">
      <c r="C31" s="190"/>
    </row>
    <row r="32">
      <c r="C32" s="190"/>
    </row>
    <row r="33">
      <c r="C33" s="190"/>
    </row>
    <row r="34">
      <c r="C34" s="190"/>
    </row>
    <row r="35">
      <c r="C35" s="190"/>
    </row>
    <row r="36">
      <c r="C36" s="190"/>
    </row>
    <row r="37">
      <c r="C37" s="190"/>
    </row>
    <row r="38">
      <c r="C38" s="190"/>
    </row>
    <row r="39">
      <c r="C39" s="190"/>
    </row>
    <row r="40">
      <c r="C40" s="190"/>
    </row>
    <row r="41">
      <c r="C41" s="190"/>
    </row>
    <row r="42">
      <c r="C42" s="190"/>
    </row>
    <row r="43">
      <c r="C43" s="190"/>
    </row>
    <row r="44">
      <c r="C44" s="190"/>
    </row>
    <row r="45">
      <c r="C45" s="190"/>
    </row>
    <row r="46">
      <c r="C46" s="190"/>
    </row>
    <row r="47">
      <c r="C47" s="190"/>
    </row>
    <row r="48">
      <c r="C48" s="190"/>
    </row>
    <row r="49">
      <c r="C49" s="190"/>
    </row>
    <row r="50">
      <c r="C50" s="190"/>
    </row>
    <row r="51">
      <c r="C51" s="190"/>
    </row>
    <row r="52">
      <c r="C52" s="190"/>
    </row>
    <row r="53">
      <c r="C53" s="190"/>
    </row>
    <row r="54">
      <c r="C54" s="190"/>
    </row>
    <row r="55">
      <c r="C55" s="190"/>
    </row>
    <row r="56">
      <c r="C56" s="190"/>
    </row>
    <row r="57">
      <c r="C57" s="190"/>
    </row>
    <row r="58">
      <c r="C58" s="190"/>
    </row>
    <row r="59">
      <c r="C59" s="190"/>
    </row>
    <row r="60">
      <c r="C60" s="190"/>
    </row>
    <row r="61">
      <c r="C61" s="190"/>
    </row>
    <row r="62">
      <c r="C62" s="190"/>
    </row>
    <row r="63">
      <c r="C63" s="190"/>
    </row>
    <row r="64">
      <c r="C64" s="190"/>
    </row>
    <row r="65">
      <c r="C65" s="190"/>
    </row>
    <row r="66">
      <c r="C66" s="190"/>
    </row>
    <row r="67">
      <c r="C67" s="190"/>
    </row>
    <row r="68">
      <c r="C68" s="190"/>
    </row>
    <row r="69">
      <c r="C69" s="190"/>
    </row>
    <row r="70">
      <c r="C70" s="190"/>
    </row>
    <row r="71">
      <c r="C71" s="190"/>
    </row>
    <row r="72">
      <c r="C72" s="190"/>
    </row>
    <row r="73">
      <c r="C73" s="190"/>
    </row>
    <row r="74">
      <c r="C74" s="190"/>
    </row>
    <row r="75">
      <c r="C75" s="190"/>
    </row>
    <row r="76">
      <c r="C76" s="190"/>
    </row>
    <row r="77">
      <c r="C77" s="190"/>
    </row>
    <row r="78">
      <c r="C78" s="190"/>
    </row>
    <row r="79">
      <c r="C79" s="190"/>
    </row>
    <row r="80">
      <c r="C80" s="190"/>
    </row>
    <row r="81">
      <c r="C81" s="190"/>
    </row>
    <row r="82">
      <c r="C82" s="190"/>
    </row>
    <row r="83">
      <c r="C83" s="190"/>
    </row>
    <row r="84">
      <c r="C84" s="190"/>
    </row>
    <row r="85">
      <c r="C85" s="190"/>
    </row>
    <row r="86">
      <c r="C86" s="190"/>
    </row>
    <row r="87">
      <c r="C87" s="190"/>
    </row>
    <row r="88">
      <c r="C88" s="190"/>
    </row>
    <row r="89">
      <c r="C89" s="190"/>
    </row>
    <row r="90">
      <c r="C90" s="190"/>
    </row>
    <row r="91">
      <c r="C91" s="190"/>
    </row>
    <row r="92">
      <c r="C92" s="190"/>
    </row>
    <row r="93">
      <c r="C93" s="190"/>
    </row>
    <row r="94">
      <c r="C94" s="190"/>
    </row>
    <row r="95">
      <c r="C95" s="190"/>
    </row>
    <row r="96">
      <c r="C96" s="190"/>
    </row>
    <row r="97">
      <c r="C97" s="190"/>
    </row>
    <row r="98">
      <c r="C98" s="190"/>
    </row>
    <row r="99">
      <c r="C99" s="190"/>
    </row>
    <row r="100">
      <c r="C100" s="190"/>
    </row>
    <row r="101">
      <c r="C101" s="190"/>
    </row>
    <row r="102">
      <c r="C102" s="190"/>
    </row>
    <row r="103">
      <c r="C103" s="190"/>
    </row>
    <row r="104">
      <c r="C104" s="190"/>
    </row>
    <row r="105">
      <c r="C105" s="190"/>
    </row>
    <row r="106">
      <c r="C106" s="190"/>
    </row>
    <row r="107">
      <c r="C107" s="190"/>
    </row>
    <row r="108">
      <c r="C108" s="190"/>
    </row>
    <row r="109">
      <c r="C109" s="190"/>
    </row>
    <row r="110">
      <c r="C110" s="190"/>
    </row>
    <row r="111">
      <c r="C111" s="190"/>
    </row>
    <row r="112">
      <c r="C112" s="190"/>
    </row>
    <row r="113">
      <c r="C113" s="190"/>
    </row>
    <row r="114">
      <c r="C114" s="190"/>
    </row>
    <row r="115">
      <c r="C115" s="190"/>
    </row>
    <row r="116">
      <c r="C116" s="190"/>
    </row>
    <row r="117">
      <c r="C117" s="190"/>
    </row>
    <row r="118">
      <c r="C118" s="190"/>
    </row>
    <row r="119">
      <c r="C119" s="190"/>
    </row>
    <row r="120">
      <c r="C120" s="190"/>
    </row>
    <row r="121">
      <c r="C121" s="190"/>
    </row>
    <row r="122">
      <c r="C122" s="190"/>
    </row>
    <row r="123">
      <c r="C123" s="190"/>
    </row>
    <row r="124">
      <c r="C124" s="190"/>
    </row>
    <row r="125">
      <c r="C125" s="190"/>
    </row>
    <row r="126">
      <c r="C126" s="190"/>
    </row>
    <row r="127">
      <c r="C127" s="190"/>
    </row>
    <row r="128">
      <c r="C128" s="190"/>
    </row>
    <row r="129">
      <c r="C129" s="190"/>
    </row>
    <row r="130">
      <c r="C130" s="190"/>
    </row>
    <row r="131">
      <c r="C131" s="190"/>
    </row>
    <row r="132">
      <c r="C132" s="190"/>
    </row>
    <row r="133">
      <c r="C133" s="190"/>
    </row>
    <row r="134">
      <c r="C134" s="190"/>
    </row>
    <row r="135">
      <c r="C135" s="190"/>
    </row>
    <row r="136">
      <c r="C136" s="190"/>
    </row>
    <row r="137">
      <c r="C137" s="190"/>
    </row>
    <row r="138">
      <c r="C138" s="190"/>
    </row>
    <row r="139">
      <c r="C139" s="190"/>
    </row>
    <row r="140">
      <c r="C140" s="190"/>
    </row>
    <row r="141">
      <c r="C141" s="190"/>
    </row>
    <row r="142">
      <c r="C142" s="190"/>
    </row>
    <row r="143">
      <c r="C143" s="190"/>
    </row>
    <row r="144">
      <c r="C144" s="190"/>
    </row>
    <row r="145">
      <c r="C145" s="190"/>
    </row>
    <row r="146">
      <c r="C146" s="190"/>
    </row>
    <row r="147">
      <c r="C147" s="190"/>
    </row>
    <row r="148">
      <c r="C148" s="190"/>
    </row>
    <row r="149">
      <c r="C149" s="190"/>
    </row>
    <row r="150">
      <c r="C150" s="190"/>
    </row>
    <row r="151">
      <c r="C151" s="190"/>
    </row>
    <row r="152">
      <c r="C152" s="190"/>
    </row>
    <row r="153">
      <c r="C153" s="190"/>
    </row>
    <row r="154">
      <c r="C154" s="190"/>
    </row>
    <row r="155">
      <c r="C155" s="190"/>
    </row>
    <row r="156">
      <c r="C156" s="190"/>
    </row>
    <row r="157">
      <c r="C157" s="190"/>
    </row>
    <row r="158">
      <c r="C158" s="190"/>
    </row>
    <row r="159">
      <c r="C159" s="190"/>
    </row>
    <row r="160">
      <c r="C160" s="190"/>
    </row>
    <row r="161">
      <c r="C161" s="190"/>
    </row>
    <row r="162">
      <c r="C162" s="190"/>
    </row>
    <row r="163">
      <c r="C163" s="190"/>
    </row>
    <row r="164">
      <c r="C164" s="190"/>
    </row>
    <row r="165">
      <c r="C165" s="190"/>
    </row>
    <row r="166">
      <c r="C166" s="190"/>
    </row>
    <row r="167">
      <c r="C167" s="190"/>
    </row>
    <row r="168">
      <c r="C168" s="190"/>
    </row>
    <row r="169">
      <c r="C169" s="190"/>
    </row>
    <row r="170">
      <c r="C170" s="190"/>
    </row>
    <row r="171">
      <c r="C171" s="190"/>
    </row>
    <row r="172">
      <c r="C172" s="190"/>
    </row>
    <row r="173">
      <c r="C173" s="190"/>
    </row>
    <row r="174">
      <c r="C174" s="190"/>
    </row>
    <row r="175">
      <c r="C175" s="190"/>
    </row>
    <row r="176">
      <c r="C176" s="190"/>
    </row>
    <row r="177">
      <c r="C177" s="190"/>
    </row>
    <row r="178">
      <c r="C178" s="190"/>
    </row>
    <row r="179">
      <c r="C179" s="190"/>
    </row>
    <row r="180">
      <c r="C180" s="190"/>
    </row>
    <row r="181">
      <c r="C181" s="190"/>
    </row>
    <row r="182">
      <c r="C182" s="190"/>
    </row>
    <row r="183">
      <c r="C183" s="190"/>
    </row>
    <row r="184">
      <c r="C184" s="190"/>
    </row>
    <row r="185">
      <c r="C185" s="190"/>
    </row>
    <row r="186">
      <c r="C186" s="190"/>
    </row>
    <row r="187">
      <c r="C187" s="190"/>
    </row>
    <row r="188">
      <c r="C188" s="190"/>
    </row>
    <row r="189">
      <c r="C189" s="190"/>
    </row>
    <row r="190">
      <c r="C190" s="190"/>
    </row>
    <row r="191">
      <c r="C191" s="190"/>
    </row>
    <row r="192">
      <c r="C192" s="190"/>
    </row>
    <row r="193">
      <c r="C193" s="190"/>
    </row>
    <row r="194">
      <c r="C194" s="190"/>
    </row>
    <row r="195">
      <c r="C195" s="190"/>
    </row>
    <row r="196">
      <c r="C196" s="190"/>
    </row>
    <row r="197">
      <c r="C197" s="190"/>
    </row>
    <row r="198">
      <c r="C198" s="190"/>
    </row>
    <row r="199">
      <c r="C199" s="190"/>
    </row>
    <row r="200">
      <c r="C200" s="190"/>
    </row>
    <row r="201">
      <c r="C201" s="190"/>
    </row>
    <row r="202">
      <c r="C202" s="190"/>
    </row>
    <row r="203">
      <c r="C203" s="190"/>
    </row>
    <row r="204">
      <c r="C204" s="190"/>
    </row>
    <row r="205">
      <c r="C205" s="190"/>
    </row>
    <row r="206">
      <c r="C206" s="190"/>
    </row>
    <row r="207">
      <c r="C207" s="190"/>
    </row>
    <row r="208">
      <c r="C208" s="190"/>
    </row>
    <row r="209">
      <c r="C209" s="190"/>
    </row>
    <row r="210">
      <c r="C210" s="190"/>
    </row>
    <row r="211">
      <c r="C211" s="190"/>
    </row>
    <row r="212">
      <c r="C212" s="190"/>
    </row>
    <row r="213">
      <c r="C213" s="190"/>
    </row>
    <row r="214">
      <c r="C214" s="190"/>
    </row>
    <row r="215">
      <c r="C215" s="190"/>
    </row>
    <row r="216">
      <c r="C216" s="190"/>
    </row>
    <row r="217">
      <c r="C217" s="190"/>
    </row>
    <row r="218">
      <c r="C218" s="190"/>
    </row>
    <row r="219">
      <c r="C219" s="190"/>
    </row>
    <row r="220">
      <c r="C220" s="190"/>
    </row>
    <row r="221">
      <c r="C221" s="190"/>
    </row>
    <row r="222">
      <c r="C222" s="190"/>
    </row>
    <row r="223">
      <c r="C223" s="190"/>
    </row>
    <row r="224">
      <c r="C224" s="190"/>
    </row>
    <row r="225">
      <c r="C225" s="190"/>
    </row>
    <row r="226">
      <c r="C226" s="190"/>
    </row>
    <row r="227">
      <c r="C227" s="190"/>
    </row>
    <row r="228">
      <c r="C228" s="190"/>
    </row>
    <row r="229">
      <c r="C229" s="190"/>
    </row>
    <row r="230">
      <c r="C230" s="190"/>
    </row>
    <row r="231">
      <c r="C231" s="190"/>
    </row>
    <row r="232">
      <c r="C232" s="190"/>
    </row>
    <row r="233">
      <c r="C233" s="190"/>
    </row>
    <row r="234">
      <c r="C234" s="190"/>
    </row>
    <row r="235">
      <c r="C235" s="190"/>
    </row>
    <row r="236">
      <c r="C236" s="190"/>
    </row>
    <row r="237">
      <c r="C237" s="190"/>
    </row>
    <row r="238">
      <c r="C238" s="190"/>
    </row>
    <row r="239">
      <c r="C239" s="190"/>
    </row>
    <row r="240">
      <c r="C240" s="190"/>
    </row>
    <row r="241">
      <c r="C241" s="190"/>
    </row>
    <row r="242">
      <c r="C242" s="190"/>
    </row>
    <row r="243">
      <c r="C243" s="190"/>
    </row>
    <row r="244">
      <c r="C244" s="190"/>
    </row>
    <row r="245">
      <c r="C245" s="190"/>
    </row>
    <row r="246">
      <c r="C246" s="190"/>
    </row>
    <row r="247">
      <c r="C247" s="190"/>
    </row>
    <row r="248">
      <c r="C248" s="190"/>
    </row>
    <row r="249">
      <c r="C249" s="190"/>
    </row>
    <row r="250">
      <c r="C250" s="190"/>
    </row>
    <row r="251">
      <c r="C251" s="190"/>
    </row>
    <row r="252">
      <c r="C252" s="190"/>
    </row>
    <row r="253">
      <c r="C253" s="190"/>
    </row>
    <row r="254">
      <c r="C254" s="190"/>
    </row>
    <row r="255">
      <c r="C255" s="190"/>
    </row>
    <row r="256">
      <c r="C256" s="190"/>
    </row>
    <row r="257">
      <c r="C257" s="190"/>
    </row>
    <row r="258">
      <c r="C258" s="190"/>
    </row>
    <row r="259">
      <c r="C259" s="190"/>
    </row>
    <row r="260">
      <c r="C260" s="190"/>
    </row>
    <row r="261">
      <c r="C261" s="190"/>
    </row>
    <row r="262">
      <c r="C262" s="190"/>
    </row>
    <row r="263">
      <c r="C263" s="190"/>
    </row>
    <row r="264">
      <c r="C264" s="190"/>
    </row>
    <row r="265">
      <c r="C265" s="190"/>
    </row>
    <row r="266">
      <c r="C266" s="190"/>
    </row>
    <row r="267">
      <c r="C267" s="190"/>
    </row>
    <row r="268">
      <c r="C268" s="190"/>
    </row>
    <row r="269">
      <c r="C269" s="190"/>
    </row>
    <row r="270">
      <c r="C270" s="190"/>
    </row>
    <row r="271">
      <c r="C271" s="190"/>
    </row>
    <row r="272">
      <c r="C272" s="190"/>
    </row>
    <row r="273">
      <c r="C273" s="190"/>
    </row>
    <row r="274">
      <c r="C274" s="190"/>
    </row>
    <row r="275">
      <c r="C275" s="190"/>
    </row>
    <row r="276">
      <c r="C276" s="190"/>
    </row>
    <row r="277">
      <c r="C277" s="190"/>
    </row>
    <row r="278">
      <c r="C278" s="190"/>
    </row>
    <row r="279">
      <c r="C279" s="190"/>
    </row>
    <row r="280">
      <c r="C280" s="190"/>
    </row>
    <row r="281">
      <c r="C281" s="190"/>
    </row>
    <row r="282">
      <c r="C282" s="190"/>
    </row>
    <row r="283">
      <c r="C283" s="190"/>
    </row>
    <row r="284">
      <c r="C284" s="190"/>
    </row>
    <row r="285">
      <c r="C285" s="190"/>
    </row>
    <row r="286">
      <c r="C286" s="190"/>
    </row>
    <row r="287">
      <c r="C287" s="190"/>
    </row>
    <row r="288">
      <c r="C288" s="190"/>
    </row>
    <row r="289">
      <c r="C289" s="190"/>
    </row>
    <row r="290">
      <c r="C290" s="190"/>
    </row>
    <row r="291">
      <c r="C291" s="190"/>
    </row>
    <row r="292">
      <c r="C292" s="190"/>
    </row>
    <row r="293">
      <c r="C293" s="190"/>
    </row>
    <row r="294">
      <c r="C294" s="190"/>
    </row>
    <row r="295">
      <c r="C295" s="190"/>
    </row>
    <row r="296">
      <c r="C296" s="190"/>
    </row>
    <row r="297">
      <c r="C297" s="190"/>
    </row>
    <row r="298">
      <c r="C298" s="190"/>
    </row>
    <row r="299">
      <c r="C299" s="190"/>
    </row>
    <row r="300">
      <c r="C300" s="190"/>
    </row>
    <row r="301">
      <c r="C301" s="190"/>
    </row>
    <row r="302">
      <c r="C302" s="190"/>
    </row>
    <row r="303">
      <c r="C303" s="190"/>
    </row>
    <row r="304">
      <c r="C304" s="190"/>
    </row>
    <row r="305">
      <c r="C305" s="190"/>
    </row>
    <row r="306">
      <c r="C306" s="190"/>
    </row>
    <row r="307">
      <c r="C307" s="190"/>
    </row>
    <row r="308">
      <c r="C308" s="190"/>
    </row>
    <row r="309">
      <c r="C309" s="190"/>
    </row>
    <row r="310">
      <c r="C310" s="190"/>
    </row>
    <row r="311">
      <c r="C311" s="190"/>
    </row>
    <row r="312">
      <c r="C312" s="190"/>
    </row>
    <row r="313">
      <c r="C313" s="190"/>
    </row>
    <row r="314">
      <c r="C314" s="190"/>
    </row>
    <row r="315">
      <c r="C315" s="190"/>
    </row>
    <row r="316">
      <c r="C316" s="190"/>
    </row>
    <row r="317">
      <c r="C317" s="190"/>
    </row>
    <row r="318">
      <c r="C318" s="190"/>
    </row>
    <row r="319">
      <c r="C319" s="190"/>
    </row>
    <row r="320">
      <c r="C320" s="190"/>
    </row>
    <row r="321">
      <c r="C321" s="190"/>
    </row>
    <row r="322">
      <c r="C322" s="190"/>
    </row>
    <row r="323">
      <c r="C323" s="190"/>
    </row>
    <row r="324">
      <c r="C324" s="190"/>
    </row>
    <row r="325">
      <c r="C325" s="190"/>
    </row>
    <row r="326">
      <c r="C326" s="190"/>
    </row>
    <row r="327">
      <c r="C327" s="190"/>
    </row>
    <row r="328">
      <c r="C328" s="190"/>
    </row>
    <row r="329">
      <c r="C329" s="190"/>
    </row>
    <row r="330">
      <c r="C330" s="190"/>
    </row>
    <row r="331">
      <c r="C331" s="190"/>
    </row>
    <row r="332">
      <c r="C332" s="190"/>
    </row>
    <row r="333">
      <c r="C333" s="190"/>
    </row>
    <row r="334">
      <c r="C334" s="190"/>
    </row>
    <row r="335">
      <c r="C335" s="190"/>
    </row>
    <row r="336">
      <c r="C336" s="190"/>
    </row>
    <row r="337">
      <c r="C337" s="190"/>
    </row>
    <row r="338">
      <c r="C338" s="190"/>
    </row>
    <row r="339">
      <c r="C339" s="190"/>
    </row>
    <row r="340">
      <c r="C340" s="190"/>
    </row>
    <row r="341">
      <c r="C341" s="190"/>
    </row>
    <row r="342">
      <c r="C342" s="190"/>
    </row>
    <row r="343">
      <c r="C343" s="190"/>
    </row>
    <row r="344">
      <c r="C344" s="190"/>
    </row>
    <row r="345">
      <c r="C345" s="190"/>
    </row>
    <row r="346">
      <c r="C346" s="190"/>
    </row>
    <row r="347">
      <c r="C347" s="190"/>
    </row>
    <row r="348">
      <c r="C348" s="190"/>
    </row>
    <row r="349">
      <c r="C349" s="190"/>
    </row>
    <row r="350">
      <c r="C350" s="190"/>
    </row>
    <row r="351">
      <c r="C351" s="190"/>
    </row>
    <row r="352">
      <c r="C352" s="190"/>
    </row>
    <row r="353">
      <c r="C353" s="190"/>
    </row>
    <row r="354">
      <c r="C354" s="190"/>
    </row>
    <row r="355">
      <c r="C355" s="190"/>
    </row>
    <row r="356">
      <c r="C356" s="190"/>
    </row>
    <row r="357">
      <c r="C357" s="190"/>
    </row>
    <row r="358">
      <c r="C358" s="190"/>
    </row>
    <row r="359">
      <c r="C359" s="190"/>
    </row>
    <row r="360">
      <c r="C360" s="190"/>
    </row>
    <row r="361">
      <c r="C361" s="190"/>
    </row>
    <row r="362">
      <c r="C362" s="190"/>
    </row>
    <row r="363">
      <c r="C363" s="190"/>
    </row>
    <row r="364">
      <c r="C364" s="190"/>
    </row>
    <row r="365">
      <c r="C365" s="190"/>
    </row>
    <row r="366">
      <c r="C366" s="190"/>
    </row>
    <row r="367">
      <c r="C367" s="190"/>
    </row>
    <row r="368">
      <c r="C368" s="190"/>
    </row>
    <row r="369">
      <c r="C369" s="190"/>
    </row>
    <row r="370">
      <c r="C370" s="190"/>
    </row>
    <row r="371">
      <c r="C371" s="190"/>
    </row>
    <row r="372">
      <c r="C372" s="190"/>
    </row>
    <row r="373">
      <c r="C373" s="190"/>
    </row>
    <row r="374">
      <c r="C374" s="190"/>
    </row>
    <row r="375">
      <c r="C375" s="190"/>
    </row>
    <row r="376">
      <c r="C376" s="190"/>
    </row>
    <row r="377">
      <c r="C377" s="190"/>
    </row>
    <row r="378">
      <c r="C378" s="190"/>
    </row>
    <row r="379">
      <c r="C379" s="190"/>
    </row>
    <row r="380">
      <c r="C380" s="190"/>
    </row>
    <row r="381">
      <c r="C381" s="190"/>
    </row>
    <row r="382">
      <c r="C382" s="190"/>
    </row>
    <row r="383">
      <c r="C383" s="190"/>
    </row>
    <row r="384">
      <c r="C384" s="190"/>
    </row>
    <row r="385">
      <c r="C385" s="190"/>
    </row>
    <row r="386">
      <c r="C386" s="190"/>
    </row>
    <row r="387">
      <c r="C387" s="190"/>
    </row>
    <row r="388">
      <c r="C388" s="190"/>
    </row>
    <row r="389">
      <c r="C389" s="190"/>
    </row>
    <row r="390">
      <c r="C390" s="190"/>
    </row>
    <row r="391">
      <c r="C391" s="190"/>
    </row>
    <row r="392">
      <c r="C392" s="190"/>
    </row>
    <row r="393">
      <c r="C393" s="190"/>
    </row>
    <row r="394">
      <c r="C394" s="190"/>
    </row>
    <row r="395">
      <c r="C395" s="190"/>
    </row>
    <row r="396">
      <c r="C396" s="190"/>
    </row>
    <row r="397">
      <c r="C397" s="190"/>
    </row>
    <row r="398">
      <c r="C398" s="190"/>
    </row>
    <row r="399">
      <c r="C399" s="190"/>
    </row>
    <row r="400">
      <c r="C400" s="190"/>
    </row>
    <row r="401">
      <c r="C401" s="190"/>
    </row>
    <row r="402">
      <c r="C402" s="190"/>
    </row>
    <row r="403">
      <c r="C403" s="190"/>
    </row>
    <row r="404">
      <c r="C404" s="190"/>
    </row>
    <row r="405">
      <c r="C405" s="190"/>
    </row>
    <row r="406">
      <c r="C406" s="190"/>
    </row>
    <row r="407">
      <c r="C407" s="190"/>
    </row>
    <row r="408">
      <c r="C408" s="190"/>
    </row>
    <row r="409">
      <c r="C409" s="190"/>
    </row>
    <row r="410">
      <c r="C410" s="190"/>
    </row>
    <row r="411">
      <c r="C411" s="190"/>
    </row>
    <row r="412">
      <c r="C412" s="190"/>
    </row>
    <row r="413">
      <c r="C413" s="190"/>
    </row>
    <row r="414">
      <c r="C414" s="190"/>
    </row>
    <row r="415">
      <c r="C415" s="190"/>
    </row>
    <row r="416">
      <c r="C416" s="190"/>
    </row>
    <row r="417">
      <c r="C417" s="190"/>
    </row>
    <row r="418">
      <c r="C418" s="190"/>
    </row>
    <row r="419">
      <c r="C419" s="190"/>
    </row>
    <row r="420">
      <c r="C420" s="190"/>
    </row>
    <row r="421">
      <c r="C421" s="190"/>
    </row>
    <row r="422">
      <c r="C422" s="190"/>
    </row>
    <row r="423">
      <c r="C423" s="190"/>
    </row>
    <row r="424">
      <c r="C424" s="190"/>
    </row>
    <row r="425">
      <c r="C425" s="190"/>
    </row>
    <row r="426">
      <c r="C426" s="190"/>
    </row>
    <row r="427">
      <c r="C427" s="190"/>
    </row>
    <row r="428">
      <c r="C428" s="190"/>
    </row>
    <row r="429">
      <c r="C429" s="190"/>
    </row>
    <row r="430">
      <c r="C430" s="190"/>
    </row>
    <row r="431">
      <c r="C431" s="190"/>
    </row>
    <row r="432">
      <c r="C432" s="190"/>
    </row>
    <row r="433">
      <c r="C433" s="190"/>
    </row>
    <row r="434">
      <c r="C434" s="190"/>
    </row>
    <row r="435">
      <c r="C435" s="190"/>
    </row>
    <row r="436">
      <c r="C436" s="190"/>
    </row>
    <row r="437">
      <c r="C437" s="190"/>
    </row>
    <row r="438">
      <c r="C438" s="190"/>
    </row>
    <row r="439">
      <c r="C439" s="190"/>
    </row>
    <row r="440">
      <c r="C440" s="190"/>
    </row>
    <row r="441">
      <c r="C441" s="190"/>
    </row>
    <row r="442">
      <c r="C442" s="190"/>
    </row>
    <row r="443">
      <c r="C443" s="190"/>
    </row>
    <row r="444">
      <c r="C444" s="190"/>
    </row>
    <row r="445">
      <c r="C445" s="190"/>
    </row>
    <row r="446">
      <c r="C446" s="190"/>
    </row>
    <row r="447">
      <c r="C447" s="190"/>
    </row>
    <row r="448">
      <c r="C448" s="190"/>
    </row>
    <row r="449">
      <c r="C449" s="190"/>
    </row>
    <row r="450">
      <c r="C450" s="190"/>
    </row>
    <row r="451">
      <c r="C451" s="190"/>
    </row>
    <row r="452">
      <c r="C452" s="190"/>
    </row>
    <row r="453">
      <c r="C453" s="190"/>
    </row>
    <row r="454">
      <c r="C454" s="190"/>
    </row>
    <row r="455">
      <c r="C455" s="190"/>
    </row>
    <row r="456">
      <c r="C456" s="190"/>
    </row>
    <row r="457">
      <c r="C457" s="190"/>
    </row>
    <row r="458">
      <c r="C458" s="190"/>
    </row>
    <row r="459">
      <c r="C459" s="190"/>
    </row>
    <row r="460">
      <c r="C460" s="190"/>
    </row>
    <row r="461">
      <c r="C461" s="190"/>
    </row>
    <row r="462">
      <c r="C462" s="190"/>
    </row>
    <row r="463">
      <c r="C463" s="190"/>
    </row>
    <row r="464">
      <c r="C464" s="190"/>
    </row>
    <row r="465">
      <c r="C465" s="190"/>
    </row>
    <row r="466">
      <c r="C466" s="190"/>
    </row>
    <row r="467">
      <c r="C467" s="190"/>
    </row>
    <row r="468">
      <c r="C468" s="190"/>
    </row>
    <row r="469">
      <c r="C469" s="190"/>
    </row>
    <row r="470">
      <c r="C470" s="190"/>
    </row>
    <row r="471">
      <c r="C471" s="190"/>
    </row>
    <row r="472">
      <c r="C472" s="190"/>
    </row>
    <row r="473">
      <c r="C473" s="190"/>
    </row>
    <row r="474">
      <c r="C474" s="190"/>
    </row>
    <row r="475">
      <c r="C475" s="190"/>
    </row>
    <row r="476">
      <c r="C476" s="190"/>
    </row>
    <row r="477">
      <c r="C477" s="190"/>
    </row>
    <row r="478">
      <c r="C478" s="190"/>
    </row>
    <row r="479">
      <c r="C479" s="190"/>
    </row>
    <row r="480">
      <c r="C480" s="190"/>
    </row>
    <row r="481">
      <c r="C481" s="190"/>
    </row>
    <row r="482">
      <c r="C482" s="190"/>
    </row>
    <row r="483">
      <c r="C483" s="190"/>
    </row>
    <row r="484">
      <c r="C484" s="190"/>
    </row>
    <row r="485">
      <c r="C485" s="190"/>
    </row>
    <row r="486">
      <c r="C486" s="190"/>
    </row>
    <row r="487">
      <c r="C487" s="190"/>
    </row>
    <row r="488">
      <c r="C488" s="190"/>
    </row>
    <row r="489">
      <c r="C489" s="190"/>
    </row>
    <row r="490">
      <c r="C490" s="190"/>
    </row>
    <row r="491">
      <c r="C491" s="190"/>
    </row>
    <row r="492">
      <c r="C492" s="190"/>
    </row>
    <row r="493">
      <c r="C493" s="190"/>
    </row>
    <row r="494">
      <c r="C494" s="190"/>
    </row>
    <row r="495">
      <c r="C495" s="190"/>
    </row>
    <row r="496">
      <c r="C496" s="190"/>
    </row>
    <row r="497">
      <c r="C497" s="190"/>
    </row>
    <row r="498">
      <c r="C498" s="190"/>
    </row>
    <row r="499">
      <c r="C499" s="190"/>
    </row>
    <row r="500">
      <c r="C500" s="190"/>
    </row>
    <row r="501">
      <c r="C501" s="190"/>
    </row>
    <row r="502">
      <c r="C502" s="190"/>
    </row>
    <row r="503">
      <c r="C503" s="190"/>
    </row>
    <row r="504">
      <c r="C504" s="190"/>
    </row>
    <row r="505">
      <c r="C505" s="190"/>
    </row>
    <row r="506">
      <c r="C506" s="190"/>
    </row>
    <row r="507">
      <c r="C507" s="190"/>
    </row>
    <row r="508">
      <c r="C508" s="190"/>
    </row>
    <row r="509">
      <c r="C509" s="190"/>
    </row>
    <row r="510">
      <c r="C510" s="190"/>
    </row>
    <row r="511">
      <c r="C511" s="190"/>
    </row>
    <row r="512">
      <c r="C512" s="190"/>
    </row>
    <row r="513">
      <c r="C513" s="190"/>
    </row>
    <row r="514">
      <c r="C514" s="190"/>
    </row>
    <row r="515">
      <c r="C515" s="190"/>
    </row>
    <row r="516">
      <c r="C516" s="190"/>
    </row>
    <row r="517">
      <c r="C517" s="190"/>
    </row>
    <row r="518">
      <c r="C518" s="190"/>
    </row>
    <row r="519">
      <c r="C519" s="190"/>
    </row>
    <row r="520">
      <c r="C520" s="190"/>
    </row>
    <row r="521">
      <c r="C521" s="190"/>
    </row>
    <row r="522">
      <c r="C522" s="190"/>
    </row>
    <row r="523">
      <c r="C523" s="190"/>
    </row>
    <row r="524">
      <c r="C524" s="190"/>
    </row>
    <row r="525">
      <c r="C525" s="190"/>
    </row>
    <row r="526">
      <c r="C526" s="190"/>
    </row>
    <row r="527">
      <c r="C527" s="190"/>
    </row>
    <row r="528">
      <c r="C528" s="190"/>
    </row>
    <row r="529">
      <c r="C529" s="190"/>
    </row>
    <row r="530">
      <c r="C530" s="190"/>
    </row>
    <row r="531">
      <c r="C531" s="190"/>
    </row>
    <row r="532">
      <c r="C532" s="190"/>
    </row>
    <row r="533">
      <c r="C533" s="190"/>
    </row>
    <row r="534">
      <c r="C534" s="190"/>
    </row>
    <row r="535">
      <c r="C535" s="190"/>
    </row>
    <row r="536">
      <c r="C536" s="190"/>
    </row>
    <row r="537">
      <c r="C537" s="190"/>
    </row>
    <row r="538">
      <c r="C538" s="190"/>
    </row>
    <row r="539">
      <c r="C539" s="190"/>
    </row>
    <row r="540">
      <c r="C540" s="190"/>
    </row>
    <row r="541">
      <c r="C541" s="190"/>
    </row>
    <row r="542">
      <c r="C542" s="190"/>
    </row>
    <row r="543">
      <c r="C543" s="190"/>
    </row>
    <row r="544">
      <c r="C544" s="190"/>
    </row>
    <row r="545">
      <c r="C545" s="190"/>
    </row>
    <row r="546">
      <c r="C546" s="190"/>
    </row>
    <row r="547">
      <c r="C547" s="190"/>
    </row>
    <row r="548">
      <c r="C548" s="190"/>
    </row>
    <row r="549">
      <c r="C549" s="190"/>
    </row>
    <row r="550">
      <c r="C550" s="190"/>
    </row>
    <row r="551">
      <c r="C551" s="190"/>
    </row>
    <row r="552">
      <c r="C552" s="190"/>
    </row>
    <row r="553">
      <c r="C553" s="190"/>
    </row>
    <row r="554">
      <c r="C554" s="190"/>
    </row>
    <row r="555">
      <c r="C555" s="190"/>
    </row>
    <row r="556">
      <c r="C556" s="190"/>
    </row>
    <row r="557">
      <c r="C557" s="190"/>
    </row>
    <row r="558">
      <c r="C558" s="190"/>
    </row>
    <row r="559">
      <c r="C559" s="190"/>
    </row>
    <row r="560">
      <c r="C560" s="190"/>
    </row>
    <row r="561">
      <c r="C561" s="190"/>
    </row>
    <row r="562">
      <c r="C562" s="190"/>
    </row>
    <row r="563">
      <c r="C563" s="190"/>
    </row>
    <row r="564">
      <c r="C564" s="190"/>
    </row>
    <row r="565">
      <c r="C565" s="190"/>
    </row>
    <row r="566">
      <c r="C566" s="190"/>
    </row>
    <row r="567">
      <c r="C567" s="190"/>
    </row>
    <row r="568">
      <c r="C568" s="190"/>
    </row>
    <row r="569">
      <c r="C569" s="190"/>
    </row>
    <row r="570">
      <c r="C570" s="190"/>
    </row>
    <row r="571">
      <c r="C571" s="190"/>
    </row>
    <row r="572">
      <c r="C572" s="190"/>
    </row>
    <row r="573">
      <c r="C573" s="190"/>
    </row>
    <row r="574">
      <c r="C574" s="190"/>
    </row>
    <row r="575">
      <c r="C575" s="190"/>
    </row>
    <row r="576">
      <c r="C576" s="190"/>
    </row>
    <row r="577">
      <c r="C577" s="190"/>
    </row>
    <row r="578">
      <c r="C578" s="190"/>
    </row>
    <row r="579">
      <c r="C579" s="190"/>
    </row>
    <row r="580">
      <c r="C580" s="190"/>
    </row>
    <row r="581">
      <c r="C581" s="190"/>
    </row>
    <row r="582">
      <c r="C582" s="190"/>
    </row>
    <row r="583">
      <c r="C583" s="190"/>
    </row>
    <row r="584">
      <c r="C584" s="190"/>
    </row>
    <row r="585">
      <c r="C585" s="190"/>
    </row>
    <row r="586">
      <c r="C586" s="190"/>
    </row>
    <row r="587">
      <c r="C587" s="190"/>
    </row>
    <row r="588">
      <c r="C588" s="190"/>
    </row>
    <row r="589">
      <c r="C589" s="190"/>
    </row>
    <row r="590">
      <c r="C590" s="190"/>
    </row>
    <row r="591">
      <c r="C591" s="190"/>
    </row>
    <row r="592">
      <c r="C592" s="190"/>
    </row>
    <row r="593">
      <c r="C593" s="190"/>
    </row>
    <row r="594">
      <c r="C594" s="190"/>
    </row>
    <row r="595">
      <c r="C595" s="190"/>
    </row>
    <row r="596">
      <c r="C596" s="190"/>
    </row>
    <row r="597">
      <c r="C597" s="190"/>
    </row>
    <row r="598">
      <c r="C598" s="190"/>
    </row>
    <row r="599">
      <c r="C599" s="190"/>
    </row>
    <row r="600">
      <c r="C600" s="190"/>
    </row>
    <row r="601">
      <c r="C601" s="190"/>
    </row>
    <row r="602">
      <c r="C602" s="190"/>
    </row>
    <row r="603">
      <c r="C603" s="190"/>
    </row>
    <row r="604">
      <c r="C604" s="190"/>
    </row>
    <row r="605">
      <c r="C605" s="190"/>
    </row>
    <row r="606">
      <c r="C606" s="190"/>
    </row>
    <row r="607">
      <c r="C607" s="190"/>
    </row>
    <row r="608">
      <c r="C608" s="190"/>
    </row>
    <row r="609">
      <c r="C609" s="190"/>
    </row>
    <row r="610">
      <c r="C610" s="190"/>
    </row>
    <row r="611">
      <c r="C611" s="190"/>
    </row>
    <row r="612">
      <c r="C612" s="190"/>
    </row>
    <row r="613">
      <c r="C613" s="190"/>
    </row>
    <row r="614">
      <c r="C614" s="190"/>
    </row>
    <row r="615">
      <c r="C615" s="190"/>
    </row>
    <row r="616">
      <c r="C616" s="190"/>
    </row>
    <row r="617">
      <c r="C617" s="190"/>
    </row>
    <row r="618">
      <c r="C618" s="190"/>
    </row>
    <row r="619">
      <c r="C619" s="190"/>
    </row>
    <row r="620">
      <c r="C620" s="190"/>
    </row>
    <row r="621">
      <c r="C621" s="190"/>
    </row>
    <row r="622">
      <c r="C622" s="190"/>
    </row>
    <row r="623">
      <c r="C623" s="190"/>
    </row>
    <row r="624">
      <c r="C624" s="190"/>
    </row>
    <row r="625">
      <c r="C625" s="190"/>
    </row>
    <row r="626">
      <c r="C626" s="190"/>
    </row>
    <row r="627">
      <c r="C627" s="190"/>
    </row>
    <row r="628">
      <c r="C628" s="190"/>
    </row>
    <row r="629">
      <c r="C629" s="190"/>
    </row>
    <row r="630">
      <c r="C630" s="190"/>
    </row>
    <row r="631">
      <c r="C631" s="190"/>
    </row>
    <row r="632">
      <c r="C632" s="190"/>
    </row>
    <row r="633">
      <c r="C633" s="190"/>
    </row>
    <row r="634">
      <c r="C634" s="190"/>
    </row>
    <row r="635">
      <c r="C635" s="190"/>
    </row>
    <row r="636">
      <c r="C636" s="190"/>
    </row>
    <row r="637">
      <c r="C637" s="190"/>
    </row>
    <row r="638">
      <c r="C638" s="190"/>
    </row>
    <row r="639">
      <c r="C639" s="190"/>
    </row>
    <row r="640">
      <c r="C640" s="190"/>
    </row>
    <row r="641">
      <c r="C641" s="190"/>
    </row>
    <row r="642">
      <c r="C642" s="190"/>
    </row>
    <row r="643">
      <c r="C643" s="190"/>
    </row>
    <row r="644">
      <c r="C644" s="190"/>
    </row>
    <row r="645">
      <c r="C645" s="190"/>
    </row>
    <row r="646">
      <c r="C646" s="190"/>
    </row>
    <row r="647">
      <c r="C647" s="190"/>
    </row>
    <row r="648">
      <c r="C648" s="190"/>
    </row>
    <row r="649">
      <c r="C649" s="190"/>
    </row>
    <row r="650">
      <c r="C650" s="190"/>
    </row>
    <row r="651">
      <c r="C651" s="190"/>
    </row>
    <row r="652">
      <c r="C652" s="190"/>
    </row>
    <row r="653">
      <c r="C653" s="190"/>
    </row>
    <row r="654">
      <c r="C654" s="190"/>
    </row>
    <row r="655">
      <c r="C655" s="190"/>
    </row>
    <row r="656">
      <c r="C656" s="190"/>
    </row>
    <row r="657">
      <c r="C657" s="190"/>
    </row>
    <row r="658">
      <c r="C658" s="190"/>
    </row>
    <row r="659">
      <c r="C659" s="190"/>
    </row>
    <row r="660">
      <c r="C660" s="190"/>
    </row>
    <row r="661">
      <c r="C661" s="190"/>
    </row>
    <row r="662">
      <c r="C662" s="190"/>
    </row>
    <row r="663">
      <c r="C663" s="190"/>
    </row>
    <row r="664">
      <c r="C664" s="190"/>
    </row>
    <row r="665">
      <c r="C665" s="190"/>
    </row>
    <row r="666">
      <c r="C666" s="190"/>
    </row>
    <row r="667">
      <c r="C667" s="190"/>
    </row>
    <row r="668">
      <c r="C668" s="190"/>
    </row>
    <row r="669">
      <c r="C669" s="190"/>
    </row>
    <row r="670">
      <c r="C670" s="190"/>
    </row>
    <row r="671">
      <c r="C671" s="190"/>
    </row>
    <row r="672">
      <c r="C672" s="190"/>
    </row>
    <row r="673">
      <c r="C673" s="190"/>
    </row>
    <row r="674">
      <c r="C674" s="190"/>
    </row>
    <row r="675">
      <c r="C675" s="190"/>
    </row>
    <row r="676">
      <c r="C676" s="190"/>
    </row>
    <row r="677">
      <c r="C677" s="190"/>
    </row>
    <row r="678">
      <c r="C678" s="190"/>
    </row>
    <row r="679">
      <c r="C679" s="190"/>
    </row>
    <row r="680">
      <c r="C680" s="190"/>
    </row>
    <row r="681">
      <c r="C681" s="190"/>
    </row>
    <row r="682">
      <c r="C682" s="190"/>
    </row>
    <row r="683">
      <c r="C683" s="190"/>
    </row>
    <row r="684">
      <c r="C684" s="190"/>
    </row>
    <row r="685">
      <c r="C685" s="190"/>
    </row>
    <row r="686">
      <c r="C686" s="190"/>
    </row>
    <row r="687">
      <c r="C687" s="190"/>
    </row>
    <row r="688">
      <c r="C688" s="190"/>
    </row>
    <row r="689">
      <c r="C689" s="190"/>
    </row>
    <row r="690">
      <c r="C690" s="190"/>
    </row>
    <row r="691">
      <c r="C691" s="190"/>
    </row>
    <row r="692">
      <c r="C692" s="190"/>
    </row>
    <row r="693">
      <c r="C693" s="190"/>
    </row>
    <row r="694">
      <c r="C694" s="190"/>
    </row>
    <row r="695">
      <c r="C695" s="190"/>
    </row>
    <row r="696">
      <c r="C696" s="190"/>
    </row>
    <row r="697">
      <c r="C697" s="190"/>
    </row>
    <row r="698">
      <c r="C698" s="190"/>
    </row>
    <row r="699">
      <c r="C699" s="190"/>
    </row>
    <row r="700">
      <c r="C700" s="190"/>
    </row>
    <row r="701">
      <c r="C701" s="190"/>
    </row>
    <row r="702">
      <c r="C702" s="190"/>
    </row>
    <row r="703">
      <c r="C703" s="190"/>
    </row>
    <row r="704">
      <c r="C704" s="190"/>
    </row>
    <row r="705">
      <c r="C705" s="190"/>
    </row>
    <row r="706">
      <c r="C706" s="190"/>
    </row>
    <row r="707">
      <c r="C707" s="190"/>
    </row>
    <row r="708">
      <c r="C708" s="190"/>
    </row>
    <row r="709">
      <c r="C709" s="190"/>
    </row>
    <row r="710">
      <c r="C710" s="190"/>
    </row>
    <row r="711">
      <c r="C711" s="190"/>
    </row>
    <row r="712">
      <c r="C712" s="190"/>
    </row>
    <row r="713">
      <c r="C713" s="190"/>
    </row>
    <row r="714">
      <c r="C714" s="190"/>
    </row>
    <row r="715">
      <c r="C715" s="190"/>
    </row>
    <row r="716">
      <c r="C716" s="190"/>
    </row>
    <row r="717">
      <c r="C717" s="190"/>
    </row>
    <row r="718">
      <c r="C718" s="190"/>
    </row>
    <row r="719">
      <c r="C719" s="190"/>
    </row>
    <row r="720">
      <c r="C720" s="190"/>
    </row>
    <row r="721">
      <c r="C721" s="190"/>
    </row>
    <row r="722">
      <c r="C722" s="190"/>
    </row>
    <row r="723">
      <c r="C723" s="190"/>
    </row>
    <row r="724">
      <c r="C724" s="190"/>
    </row>
    <row r="725">
      <c r="C725" s="190"/>
    </row>
    <row r="726">
      <c r="C726" s="190"/>
    </row>
    <row r="727">
      <c r="C727" s="190"/>
    </row>
    <row r="728">
      <c r="C728" s="190"/>
    </row>
    <row r="729">
      <c r="C729" s="190"/>
    </row>
    <row r="730">
      <c r="C730" s="190"/>
    </row>
    <row r="731">
      <c r="C731" s="190"/>
    </row>
    <row r="732">
      <c r="C732" s="190"/>
    </row>
    <row r="733">
      <c r="C733" s="190"/>
    </row>
    <row r="734">
      <c r="C734" s="190"/>
    </row>
    <row r="735">
      <c r="C735" s="190"/>
    </row>
    <row r="736">
      <c r="C736" s="190"/>
    </row>
    <row r="737">
      <c r="C737" s="190"/>
    </row>
    <row r="738">
      <c r="C738" s="190"/>
    </row>
    <row r="739">
      <c r="C739" s="190"/>
    </row>
    <row r="740">
      <c r="C740" s="190"/>
    </row>
    <row r="741">
      <c r="C741" s="190"/>
    </row>
    <row r="742">
      <c r="C742" s="190"/>
    </row>
    <row r="743">
      <c r="C743" s="190"/>
    </row>
    <row r="744">
      <c r="C744" s="190"/>
    </row>
    <row r="745">
      <c r="C745" s="190"/>
    </row>
    <row r="746">
      <c r="C746" s="190"/>
    </row>
    <row r="747">
      <c r="C747" s="190"/>
    </row>
    <row r="748">
      <c r="C748" s="190"/>
    </row>
    <row r="749">
      <c r="C749" s="190"/>
    </row>
    <row r="750">
      <c r="C750" s="190"/>
    </row>
    <row r="751">
      <c r="C751" s="190"/>
    </row>
    <row r="752">
      <c r="C752" s="190"/>
    </row>
    <row r="753">
      <c r="C753" s="190"/>
    </row>
    <row r="754">
      <c r="C754" s="190"/>
    </row>
    <row r="755">
      <c r="C755" s="190"/>
    </row>
    <row r="756">
      <c r="C756" s="190"/>
    </row>
    <row r="757">
      <c r="C757" s="190"/>
    </row>
    <row r="758">
      <c r="C758" s="190"/>
    </row>
    <row r="759">
      <c r="C759" s="190"/>
    </row>
    <row r="760">
      <c r="C760" s="190"/>
    </row>
    <row r="761">
      <c r="C761" s="190"/>
    </row>
    <row r="762">
      <c r="C762" s="190"/>
    </row>
    <row r="763">
      <c r="C763" s="190"/>
    </row>
    <row r="764">
      <c r="C764" s="190"/>
    </row>
    <row r="765">
      <c r="C765" s="190"/>
    </row>
    <row r="766">
      <c r="C766" s="190"/>
    </row>
    <row r="767">
      <c r="C767" s="190"/>
    </row>
    <row r="768">
      <c r="C768" s="190"/>
    </row>
    <row r="769">
      <c r="C769" s="190"/>
    </row>
    <row r="770">
      <c r="C770" s="190"/>
    </row>
    <row r="771">
      <c r="C771" s="190"/>
    </row>
    <row r="772">
      <c r="C772" s="190"/>
    </row>
    <row r="773">
      <c r="C773" s="190"/>
    </row>
    <row r="774">
      <c r="C774" s="190"/>
    </row>
    <row r="775">
      <c r="C775" s="190"/>
    </row>
    <row r="776">
      <c r="C776" s="190"/>
    </row>
    <row r="777">
      <c r="C777" s="190"/>
    </row>
    <row r="778">
      <c r="C778" s="190"/>
    </row>
    <row r="779">
      <c r="C779" s="190"/>
    </row>
    <row r="780">
      <c r="C780" s="190"/>
    </row>
    <row r="781">
      <c r="C781" s="190"/>
    </row>
    <row r="782">
      <c r="C782" s="190"/>
    </row>
    <row r="783">
      <c r="C783" s="190"/>
    </row>
    <row r="784">
      <c r="C784" s="190"/>
    </row>
    <row r="785">
      <c r="C785" s="190"/>
    </row>
    <row r="786">
      <c r="C786" s="190"/>
    </row>
    <row r="787">
      <c r="C787" s="190"/>
    </row>
    <row r="788">
      <c r="C788" s="190"/>
    </row>
    <row r="789">
      <c r="C789" s="190"/>
    </row>
    <row r="790">
      <c r="C790" s="190"/>
    </row>
    <row r="791">
      <c r="C791" s="190"/>
    </row>
    <row r="792">
      <c r="C792" s="190"/>
    </row>
    <row r="793">
      <c r="C793" s="190"/>
    </row>
    <row r="794">
      <c r="C794" s="190"/>
    </row>
    <row r="795">
      <c r="C795" s="190"/>
    </row>
    <row r="796">
      <c r="C796" s="190"/>
    </row>
    <row r="797">
      <c r="C797" s="190"/>
    </row>
    <row r="798">
      <c r="C798" s="190"/>
    </row>
    <row r="799">
      <c r="C799" s="190"/>
    </row>
    <row r="800">
      <c r="C800" s="190"/>
    </row>
    <row r="801">
      <c r="C801" s="190"/>
    </row>
    <row r="802">
      <c r="C802" s="190"/>
    </row>
    <row r="803">
      <c r="C803" s="190"/>
    </row>
    <row r="804">
      <c r="C804" s="190"/>
    </row>
    <row r="805">
      <c r="C805" s="190"/>
    </row>
    <row r="806">
      <c r="C806" s="190"/>
    </row>
    <row r="807">
      <c r="C807" s="190"/>
    </row>
    <row r="808">
      <c r="C808" s="190"/>
    </row>
    <row r="809">
      <c r="C809" s="190"/>
    </row>
    <row r="810">
      <c r="C810" s="190"/>
    </row>
    <row r="811">
      <c r="C811" s="190"/>
    </row>
    <row r="812">
      <c r="C812" s="190"/>
    </row>
    <row r="813">
      <c r="C813" s="190"/>
    </row>
    <row r="814">
      <c r="C814" s="190"/>
    </row>
    <row r="815">
      <c r="C815" s="190"/>
    </row>
    <row r="816">
      <c r="C816" s="190"/>
    </row>
    <row r="817">
      <c r="C817" s="190"/>
    </row>
    <row r="818">
      <c r="C818" s="190"/>
    </row>
    <row r="819">
      <c r="C819" s="190"/>
    </row>
    <row r="820">
      <c r="C820" s="190"/>
    </row>
    <row r="821">
      <c r="C821" s="190"/>
    </row>
    <row r="822">
      <c r="C822" s="190"/>
    </row>
    <row r="823">
      <c r="C823" s="190"/>
    </row>
    <row r="824">
      <c r="C824" s="190"/>
    </row>
    <row r="825">
      <c r="C825" s="190"/>
    </row>
    <row r="826">
      <c r="C826" s="190"/>
    </row>
    <row r="827">
      <c r="C827" s="190"/>
    </row>
    <row r="828">
      <c r="C828" s="190"/>
    </row>
    <row r="829">
      <c r="C829" s="190"/>
    </row>
    <row r="830">
      <c r="C830" s="190"/>
    </row>
    <row r="831">
      <c r="C831" s="190"/>
    </row>
    <row r="832">
      <c r="C832" s="190"/>
    </row>
    <row r="833">
      <c r="C833" s="190"/>
    </row>
    <row r="834">
      <c r="C834" s="190"/>
    </row>
    <row r="835">
      <c r="C835" s="190"/>
    </row>
    <row r="836">
      <c r="C836" s="190"/>
    </row>
    <row r="837">
      <c r="C837" s="190"/>
    </row>
    <row r="838">
      <c r="C838" s="190"/>
    </row>
    <row r="839">
      <c r="C839" s="190"/>
    </row>
    <row r="840">
      <c r="C840" s="190"/>
    </row>
    <row r="841">
      <c r="C841" s="190"/>
    </row>
    <row r="842">
      <c r="C842" s="190"/>
    </row>
    <row r="843">
      <c r="C843" s="190"/>
    </row>
    <row r="844">
      <c r="C844" s="190"/>
    </row>
    <row r="845">
      <c r="C845" s="190"/>
    </row>
    <row r="846">
      <c r="C846" s="190"/>
    </row>
    <row r="847">
      <c r="C847" s="190"/>
    </row>
    <row r="848">
      <c r="C848" s="190"/>
    </row>
    <row r="849">
      <c r="C849" s="190"/>
    </row>
    <row r="850">
      <c r="C850" s="190"/>
    </row>
    <row r="851">
      <c r="C851" s="190"/>
    </row>
    <row r="852">
      <c r="C852" s="190"/>
    </row>
    <row r="853">
      <c r="C853" s="190"/>
    </row>
    <row r="854">
      <c r="C854" s="190"/>
    </row>
    <row r="855">
      <c r="C855" s="190"/>
    </row>
    <row r="856">
      <c r="C856" s="190"/>
    </row>
    <row r="857">
      <c r="C857" s="190"/>
    </row>
    <row r="858">
      <c r="C858" s="190"/>
    </row>
    <row r="859">
      <c r="C859" s="190"/>
    </row>
    <row r="860">
      <c r="C860" s="190"/>
    </row>
    <row r="861">
      <c r="C861" s="190"/>
    </row>
    <row r="862">
      <c r="C862" s="190"/>
    </row>
    <row r="863">
      <c r="C863" s="190"/>
    </row>
    <row r="864">
      <c r="C864" s="190"/>
    </row>
    <row r="865">
      <c r="C865" s="190"/>
    </row>
    <row r="866">
      <c r="C866" s="190"/>
    </row>
    <row r="867">
      <c r="C867" s="190"/>
    </row>
    <row r="868">
      <c r="C868" s="190"/>
    </row>
    <row r="869">
      <c r="C869" s="190"/>
    </row>
    <row r="870">
      <c r="C870" s="190"/>
    </row>
    <row r="871">
      <c r="C871" s="190"/>
    </row>
    <row r="872">
      <c r="C872" s="190"/>
    </row>
    <row r="873">
      <c r="C873" s="190"/>
    </row>
    <row r="874">
      <c r="C874" s="190"/>
    </row>
    <row r="875">
      <c r="C875" s="190"/>
    </row>
    <row r="876">
      <c r="C876" s="190"/>
    </row>
    <row r="877">
      <c r="C877" s="190"/>
    </row>
    <row r="878">
      <c r="C878" s="190"/>
    </row>
    <row r="879">
      <c r="C879" s="190"/>
    </row>
    <row r="880">
      <c r="C880" s="190"/>
    </row>
    <row r="881">
      <c r="C881" s="190"/>
    </row>
    <row r="882">
      <c r="C882" s="190"/>
    </row>
    <row r="883">
      <c r="C883" s="190"/>
    </row>
    <row r="884">
      <c r="C884" s="190"/>
    </row>
    <row r="885">
      <c r="C885" s="190"/>
    </row>
    <row r="886">
      <c r="C886" s="190"/>
    </row>
    <row r="887">
      <c r="C887" s="190"/>
    </row>
    <row r="888">
      <c r="C888" s="190"/>
    </row>
    <row r="889">
      <c r="C889" s="190"/>
    </row>
    <row r="890">
      <c r="C890" s="190"/>
    </row>
    <row r="891">
      <c r="C891" s="190"/>
    </row>
    <row r="892">
      <c r="C892" s="190"/>
    </row>
    <row r="893">
      <c r="C893" s="190"/>
    </row>
    <row r="894">
      <c r="C894" s="190"/>
    </row>
    <row r="895">
      <c r="C895" s="190"/>
    </row>
    <row r="896">
      <c r="C896" s="190"/>
    </row>
    <row r="897">
      <c r="C897" s="190"/>
    </row>
    <row r="898">
      <c r="C898" s="190"/>
    </row>
    <row r="899">
      <c r="C899" s="190"/>
    </row>
    <row r="900">
      <c r="C900" s="190"/>
    </row>
    <row r="901">
      <c r="C901" s="190"/>
    </row>
    <row r="902">
      <c r="C902" s="190"/>
    </row>
    <row r="903">
      <c r="C903" s="190"/>
    </row>
    <row r="904">
      <c r="C904" s="190"/>
    </row>
    <row r="905">
      <c r="C905" s="190"/>
    </row>
    <row r="906">
      <c r="C906" s="190"/>
    </row>
    <row r="907">
      <c r="C907" s="190"/>
    </row>
    <row r="908">
      <c r="C908" s="190"/>
    </row>
    <row r="909">
      <c r="C909" s="190"/>
    </row>
    <row r="910">
      <c r="C910" s="190"/>
    </row>
    <row r="911">
      <c r="C911" s="190"/>
    </row>
    <row r="912">
      <c r="C912" s="190"/>
    </row>
    <row r="913">
      <c r="C913" s="190"/>
    </row>
    <row r="914">
      <c r="C914" s="190"/>
    </row>
    <row r="915">
      <c r="C915" s="190"/>
    </row>
    <row r="916">
      <c r="C916" s="190"/>
    </row>
    <row r="917">
      <c r="C917" s="190"/>
    </row>
    <row r="918">
      <c r="C918" s="190"/>
    </row>
    <row r="919">
      <c r="C919" s="190"/>
    </row>
    <row r="920">
      <c r="C920" s="190"/>
    </row>
    <row r="921">
      <c r="C921" s="190"/>
    </row>
    <row r="922">
      <c r="C922" s="190"/>
    </row>
    <row r="923">
      <c r="C923" s="190"/>
    </row>
    <row r="924">
      <c r="C924" s="190"/>
    </row>
    <row r="925">
      <c r="C925" s="190"/>
    </row>
    <row r="926">
      <c r="C926" s="190"/>
    </row>
    <row r="927">
      <c r="C927" s="190"/>
    </row>
    <row r="928">
      <c r="C928" s="190"/>
    </row>
    <row r="929">
      <c r="C929" s="190"/>
    </row>
    <row r="930">
      <c r="C930" s="190"/>
    </row>
    <row r="931">
      <c r="C931" s="190"/>
    </row>
    <row r="932">
      <c r="C932" s="190"/>
    </row>
    <row r="933">
      <c r="C933" s="190"/>
    </row>
    <row r="934">
      <c r="C934" s="190"/>
    </row>
    <row r="935">
      <c r="C935" s="190"/>
    </row>
    <row r="936">
      <c r="C936" s="190"/>
    </row>
    <row r="937">
      <c r="C937" s="190"/>
    </row>
    <row r="938">
      <c r="C938" s="190"/>
    </row>
    <row r="939">
      <c r="C939" s="190"/>
    </row>
    <row r="940">
      <c r="C940" s="190"/>
    </row>
    <row r="941">
      <c r="C941" s="190"/>
    </row>
    <row r="942">
      <c r="C942" s="190"/>
    </row>
    <row r="943">
      <c r="C943" s="190"/>
    </row>
    <row r="944">
      <c r="C944" s="190"/>
    </row>
    <row r="945">
      <c r="C945" s="190"/>
    </row>
    <row r="946">
      <c r="C946" s="190"/>
    </row>
    <row r="947">
      <c r="C947" s="190"/>
    </row>
    <row r="948">
      <c r="C948" s="190"/>
    </row>
    <row r="949">
      <c r="C949" s="190"/>
    </row>
    <row r="950">
      <c r="C950" s="190"/>
    </row>
    <row r="951">
      <c r="C951" s="190"/>
    </row>
    <row r="952">
      <c r="C952" s="190"/>
    </row>
    <row r="953">
      <c r="C953" s="190"/>
    </row>
    <row r="954">
      <c r="C954" s="190"/>
    </row>
    <row r="955">
      <c r="C955" s="190"/>
    </row>
    <row r="956">
      <c r="C956" s="190"/>
    </row>
    <row r="957">
      <c r="C957" s="190"/>
    </row>
    <row r="958">
      <c r="C958" s="190"/>
    </row>
    <row r="959">
      <c r="C959" s="190"/>
    </row>
    <row r="960">
      <c r="C960" s="190"/>
    </row>
    <row r="961">
      <c r="C961" s="190"/>
    </row>
    <row r="962">
      <c r="C962" s="190"/>
    </row>
    <row r="963">
      <c r="C963" s="190"/>
    </row>
    <row r="964">
      <c r="C964" s="190"/>
    </row>
    <row r="965">
      <c r="C965" s="190"/>
    </row>
    <row r="966">
      <c r="C966" s="190"/>
    </row>
    <row r="967">
      <c r="C967" s="190"/>
    </row>
    <row r="968">
      <c r="C968" s="190"/>
    </row>
    <row r="969">
      <c r="C969" s="190"/>
    </row>
    <row r="970">
      <c r="C970" s="190"/>
    </row>
    <row r="971">
      <c r="C971" s="190"/>
    </row>
    <row r="972">
      <c r="C972" s="190"/>
    </row>
    <row r="973">
      <c r="C973" s="190"/>
    </row>
    <row r="974">
      <c r="C974" s="190"/>
    </row>
    <row r="975">
      <c r="C975" s="190"/>
    </row>
    <row r="976">
      <c r="C976" s="190"/>
    </row>
    <row r="977">
      <c r="C977" s="190"/>
    </row>
    <row r="978">
      <c r="C978" s="190"/>
    </row>
    <row r="979">
      <c r="C979" s="190"/>
    </row>
    <row r="980">
      <c r="C980" s="190"/>
    </row>
    <row r="981">
      <c r="C981" s="190"/>
    </row>
    <row r="982">
      <c r="C982" s="190"/>
    </row>
    <row r="983">
      <c r="C983" s="190"/>
    </row>
    <row r="984">
      <c r="C984" s="190"/>
    </row>
    <row r="985">
      <c r="C985" s="190"/>
    </row>
    <row r="986">
      <c r="C986" s="190"/>
    </row>
    <row r="987">
      <c r="C987" s="190"/>
    </row>
    <row r="988">
      <c r="C988" s="190"/>
    </row>
    <row r="989">
      <c r="C989" s="190"/>
    </row>
    <row r="990">
      <c r="C990" s="190"/>
    </row>
    <row r="991">
      <c r="C991" s="190"/>
    </row>
    <row r="992">
      <c r="C992" s="190"/>
    </row>
    <row r="993">
      <c r="C993" s="190"/>
    </row>
    <row r="994">
      <c r="C994" s="190"/>
    </row>
    <row r="995">
      <c r="C995" s="190"/>
    </row>
    <row r="996">
      <c r="C996" s="190"/>
    </row>
    <row r="997">
      <c r="C997" s="190"/>
    </row>
    <row r="998">
      <c r="C998" s="190"/>
    </row>
    <row r="999">
      <c r="C999" s="190"/>
    </row>
    <row r="1000">
      <c r="C1000" s="19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10.86"/>
    <col customWidth="1" min="3" max="26" width="10.71"/>
  </cols>
  <sheetData>
    <row r="1" ht="13.5" customHeight="1">
      <c r="A1" s="159" t="s">
        <v>123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  <c r="G1" s="159" t="s">
        <v>361</v>
      </c>
      <c r="H1" s="159" t="s">
        <v>362</v>
      </c>
      <c r="I1" s="159" t="s">
        <v>363</v>
      </c>
      <c r="J1" s="159" t="s">
        <v>364</v>
      </c>
      <c r="K1" s="159" t="s">
        <v>365</v>
      </c>
      <c r="L1" s="159" t="s">
        <v>366</v>
      </c>
      <c r="M1" s="159" t="s">
        <v>367</v>
      </c>
      <c r="N1" s="159" t="s">
        <v>368</v>
      </c>
      <c r="O1" s="159" t="s">
        <v>369</v>
      </c>
      <c r="P1" s="159" t="s">
        <v>370</v>
      </c>
      <c r="Q1" s="159" t="s">
        <v>371</v>
      </c>
      <c r="R1" s="159" t="s">
        <v>372</v>
      </c>
    </row>
    <row r="2" ht="13.5" customHeight="1">
      <c r="A2" s="160" t="s">
        <v>428</v>
      </c>
      <c r="B2" s="191">
        <v>3.40864E8</v>
      </c>
      <c r="C2" s="167">
        <v>3.45111E8</v>
      </c>
      <c r="D2" s="167">
        <v>3.42806E8</v>
      </c>
      <c r="E2" s="167">
        <v>3.40685E8</v>
      </c>
      <c r="F2" s="167">
        <v>3.44337E8</v>
      </c>
      <c r="G2" s="167">
        <v>3.21976E8</v>
      </c>
      <c r="H2" s="167">
        <v>3.0223E8</v>
      </c>
      <c r="I2" s="167">
        <v>2.75107E8</v>
      </c>
      <c r="J2" s="167">
        <v>3.07636E8</v>
      </c>
      <c r="K2" s="167">
        <v>3.0625E8</v>
      </c>
      <c r="L2" s="167">
        <v>3.19157E8</v>
      </c>
      <c r="M2" s="167">
        <v>3.32654E8</v>
      </c>
      <c r="N2" s="167">
        <v>2.85999E8</v>
      </c>
      <c r="O2" s="167">
        <v>2.85894E8</v>
      </c>
      <c r="P2" s="167">
        <v>2.72976E8</v>
      </c>
      <c r="Q2" s="167">
        <v>2.67716E8</v>
      </c>
      <c r="R2" s="167">
        <v>2.68168E8</v>
      </c>
    </row>
    <row r="3" ht="13.5" customHeight="1">
      <c r="A3" s="160" t="s">
        <v>429</v>
      </c>
      <c r="B3" s="191">
        <v>3.72588E8</v>
      </c>
      <c r="C3" s="167">
        <v>3.76966E8</v>
      </c>
      <c r="D3" s="167">
        <v>3.75103E8</v>
      </c>
      <c r="E3" s="167">
        <v>3.73826E8</v>
      </c>
      <c r="F3" s="167">
        <v>3.75298E8</v>
      </c>
      <c r="G3" s="167">
        <v>3.5098E8</v>
      </c>
      <c r="H3" s="167">
        <v>3.3049E8</v>
      </c>
      <c r="I3" s="167">
        <v>2.99732E8</v>
      </c>
      <c r="J3" s="167">
        <v>3.3042E8</v>
      </c>
      <c r="K3" s="167">
        <v>3.30173E8</v>
      </c>
      <c r="L3" s="167">
        <v>3.43141E8</v>
      </c>
      <c r="M3" s="167">
        <v>3.58874E8</v>
      </c>
      <c r="N3" s="167">
        <v>3.14774E8</v>
      </c>
      <c r="O3" s="167">
        <v>3.1609E8</v>
      </c>
      <c r="P3" s="167">
        <v>3.02454E8</v>
      </c>
      <c r="Q3" s="167">
        <v>2.96711E8</v>
      </c>
      <c r="R3" s="167">
        <v>2.96382E8</v>
      </c>
    </row>
    <row r="4" ht="13.5" customHeight="1">
      <c r="A4" s="160" t="s">
        <v>430</v>
      </c>
      <c r="B4" s="191">
        <v>3.30563E8</v>
      </c>
      <c r="C4" s="167">
        <v>3.26609E8</v>
      </c>
      <c r="D4" s="167">
        <v>3.26242E8</v>
      </c>
      <c r="E4" s="167">
        <v>3.32754E8</v>
      </c>
      <c r="F4" s="167">
        <v>3.39819E8</v>
      </c>
      <c r="G4" s="167">
        <v>3.14449E8</v>
      </c>
      <c r="H4" s="167">
        <v>2.93137E8</v>
      </c>
      <c r="I4" s="167">
        <v>2.71873E8</v>
      </c>
      <c r="J4" s="167">
        <v>3.00827E8</v>
      </c>
      <c r="K4" s="167">
        <v>3.00116E8</v>
      </c>
      <c r="L4" s="167">
        <v>3.14065E8</v>
      </c>
      <c r="M4" s="167">
        <v>3.2932E8</v>
      </c>
      <c r="N4" s="167">
        <v>2.84383E8</v>
      </c>
      <c r="O4" s="167">
        <v>2.85118E8</v>
      </c>
      <c r="P4" s="167">
        <v>2.71739E8</v>
      </c>
      <c r="Q4" s="167">
        <v>2.67272E8</v>
      </c>
      <c r="R4" s="167">
        <v>2.68563E8</v>
      </c>
    </row>
    <row r="5" ht="13.5" customHeight="1">
      <c r="A5" s="160" t="s">
        <v>431</v>
      </c>
      <c r="B5" s="192">
        <v>0.8872</v>
      </c>
      <c r="C5" s="169">
        <v>0.8664</v>
      </c>
      <c r="D5" s="169">
        <v>0.8697</v>
      </c>
      <c r="E5" s="169">
        <v>0.8901</v>
      </c>
      <c r="F5" s="169">
        <v>0.9055</v>
      </c>
      <c r="G5" s="169">
        <v>0.8959</v>
      </c>
      <c r="H5" s="169">
        <v>0.887</v>
      </c>
      <c r="I5" s="169">
        <v>0.9071</v>
      </c>
      <c r="J5" s="169">
        <v>0.9104</v>
      </c>
      <c r="K5" s="169">
        <v>0.9073</v>
      </c>
      <c r="L5" s="169">
        <v>0.9153</v>
      </c>
      <c r="M5" s="169">
        <v>0.9176</v>
      </c>
      <c r="N5" s="169">
        <v>0.9035</v>
      </c>
      <c r="O5" s="169">
        <v>0.902</v>
      </c>
      <c r="P5" s="169">
        <v>0.8984</v>
      </c>
      <c r="Q5" s="169">
        <v>0.9008</v>
      </c>
      <c r="R5" s="169">
        <v>0.9061</v>
      </c>
    </row>
    <row r="6" ht="13.5" customHeight="1">
      <c r="A6" s="160" t="s">
        <v>432</v>
      </c>
      <c r="B6" s="191">
        <v>3.47783E8</v>
      </c>
      <c r="C6" s="167">
        <v>3.33251E8</v>
      </c>
      <c r="D6" s="167">
        <v>2.677E8</v>
      </c>
      <c r="E6" s="167">
        <v>2.57126E8</v>
      </c>
      <c r="F6" s="167">
        <v>2.5203E8</v>
      </c>
      <c r="G6" s="167">
        <v>2.40253E8</v>
      </c>
      <c r="H6" s="167">
        <v>2.21E8</v>
      </c>
      <c r="I6" s="167">
        <v>2.12967E8</v>
      </c>
      <c r="J6" s="167">
        <v>2.43545E8</v>
      </c>
      <c r="K6" s="167">
        <v>2.47346E8</v>
      </c>
      <c r="L6" s="167">
        <v>2.65284E8</v>
      </c>
      <c r="M6" s="167">
        <v>2.79156E8</v>
      </c>
      <c r="N6" s="167">
        <v>2.6073E8</v>
      </c>
      <c r="O6" s="167">
        <v>2.43408E8</v>
      </c>
      <c r="P6" s="167">
        <v>1.95882E8</v>
      </c>
      <c r="Q6" s="167">
        <v>1.97284E8</v>
      </c>
      <c r="R6" s="167">
        <v>1.80087E8</v>
      </c>
    </row>
    <row r="7" ht="13.5" customHeight="1">
      <c r="A7" s="160" t="s">
        <v>433</v>
      </c>
      <c r="B7" s="192">
        <v>0.9334</v>
      </c>
      <c r="C7" s="169">
        <v>0.884</v>
      </c>
      <c r="D7" s="169">
        <v>0.7137</v>
      </c>
      <c r="E7" s="169">
        <v>0.6878</v>
      </c>
      <c r="F7" s="169">
        <v>0.6715</v>
      </c>
      <c r="G7" s="169">
        <v>0.6845</v>
      </c>
      <c r="H7" s="169">
        <v>0.6687</v>
      </c>
      <c r="I7" s="169">
        <v>0.7105</v>
      </c>
      <c r="J7" s="169">
        <v>0.7371</v>
      </c>
      <c r="K7" s="169">
        <v>0.7491</v>
      </c>
      <c r="L7" s="169">
        <v>0.7731</v>
      </c>
      <c r="M7" s="169">
        <v>0.7779</v>
      </c>
      <c r="N7" s="169">
        <v>0.8283</v>
      </c>
      <c r="O7" s="169">
        <v>0.7701</v>
      </c>
      <c r="P7" s="169">
        <v>0.6476</v>
      </c>
      <c r="Q7" s="169">
        <v>0.6649</v>
      </c>
      <c r="R7" s="169">
        <v>0.6076</v>
      </c>
    </row>
    <row r="8" ht="13.5" customHeight="1">
      <c r="A8" s="160" t="s">
        <v>434</v>
      </c>
      <c r="B8" s="193">
        <v>0.22</v>
      </c>
      <c r="C8" s="161">
        <v>0.27</v>
      </c>
      <c r="D8" s="161">
        <v>0.21</v>
      </c>
      <c r="E8" s="161">
        <v>0.26</v>
      </c>
      <c r="F8" s="161">
        <v>0.26</v>
      </c>
      <c r="G8" s="161">
        <v>0.25</v>
      </c>
      <c r="H8" s="161">
        <v>0.23</v>
      </c>
      <c r="I8" s="161">
        <v>0.22</v>
      </c>
      <c r="J8" s="161">
        <v>0.25</v>
      </c>
      <c r="K8" s="161">
        <v>0.26</v>
      </c>
      <c r="L8" s="161">
        <v>0.27</v>
      </c>
      <c r="M8" s="161">
        <v>0.29</v>
      </c>
      <c r="N8" s="161">
        <v>0.27</v>
      </c>
      <c r="O8" s="161">
        <v>0.25</v>
      </c>
      <c r="P8" s="161">
        <v>0.31</v>
      </c>
      <c r="Q8" s="161">
        <v>0.31</v>
      </c>
      <c r="R8" s="161">
        <v>0.28</v>
      </c>
    </row>
    <row r="9" ht="13.5" customHeight="1">
      <c r="A9" s="160" t="s">
        <v>435</v>
      </c>
      <c r="B9" s="191">
        <v>0.0</v>
      </c>
      <c r="C9" s="161">
        <v>3.2129228646E8</v>
      </c>
      <c r="D9" s="161">
        <v>3.137619985E8</v>
      </c>
      <c r="E9" s="161">
        <v>2.4500979972E8</v>
      </c>
      <c r="F9" s="161">
        <v>2.4014849417E8</v>
      </c>
      <c r="G9" s="161">
        <v>2.3764377847E8</v>
      </c>
      <c r="H9" s="161">
        <v>2.1629659904E8</v>
      </c>
      <c r="I9" s="161">
        <v>2.1241683941E8</v>
      </c>
      <c r="J9" s="161">
        <v>2.0174750045E8</v>
      </c>
      <c r="K9" s="161">
        <v>2.4280611629E8</v>
      </c>
      <c r="L9" s="161">
        <v>2.5851677961E8</v>
      </c>
      <c r="M9" s="161">
        <v>2.6002057047E8</v>
      </c>
      <c r="N9" s="161">
        <v>2.5086596978E8</v>
      </c>
      <c r="O9" s="161">
        <v>2.5800875787E8</v>
      </c>
      <c r="P9" s="161">
        <v>1.8686968566E8</v>
      </c>
      <c r="Q9" s="161">
        <v>1.8687046065E8</v>
      </c>
      <c r="R9" s="161">
        <v>1.6959145528E8</v>
      </c>
    </row>
    <row r="10" ht="13.5" customHeight="1">
      <c r="A10" s="160" t="s">
        <v>154</v>
      </c>
      <c r="B10" s="194">
        <v>0.0</v>
      </c>
      <c r="C10" s="194">
        <f t="array" ref="C10">SUMIFS(INDIRECT("'"&amp;A$1&amp;"_DIV'!"&amp;"C:C"),INDIRECT("'"&amp;A$1&amp;"_DIV'!"&amp;"E:E"),C1)</f>
        <v>0.308667</v>
      </c>
      <c r="D10" s="194">
        <f t="array" ref="D10">SUMIFS(INDIRECT("'"&amp;A$1&amp;"_DIV'!"&amp;"C:C"),INDIRECT("'"&amp;A$1&amp;"_DIV'!"&amp;"E:E"),D1)</f>
        <v>0.250301</v>
      </c>
      <c r="E10" s="194">
        <f t="array" ref="E10">SUMIFS(INDIRECT("'"&amp;A$1&amp;"_DIV'!"&amp;"C:C"),INDIRECT("'"&amp;A$1&amp;"_DIV'!"&amp;"E:E"),E1)</f>
        <v>0.251865</v>
      </c>
      <c r="F10" s="194">
        <v>0.2519</v>
      </c>
      <c r="G10" s="161">
        <v>0.24</v>
      </c>
      <c r="H10" s="161">
        <v>0.22</v>
      </c>
      <c r="I10" s="161">
        <v>0.22</v>
      </c>
      <c r="J10" s="161">
        <v>0.21</v>
      </c>
      <c r="K10" s="161">
        <v>0.25</v>
      </c>
      <c r="L10" s="161">
        <v>0.27</v>
      </c>
      <c r="M10" s="161">
        <v>0.27</v>
      </c>
      <c r="N10" s="161">
        <v>0.26</v>
      </c>
      <c r="O10" s="161">
        <v>0.27</v>
      </c>
      <c r="P10" s="161">
        <v>0.29</v>
      </c>
      <c r="Q10" s="161">
        <v>0.29</v>
      </c>
      <c r="R10" s="161">
        <v>0.27</v>
      </c>
    </row>
    <row r="11" ht="13.5" customHeight="1">
      <c r="A11" s="160" t="s">
        <v>436</v>
      </c>
      <c r="B11" s="195">
        <v>1.55367966E9</v>
      </c>
      <c r="C11" s="171">
        <v>1.255047994E9</v>
      </c>
      <c r="D11" s="171">
        <v>1.255047994E9</v>
      </c>
      <c r="E11" s="171">
        <v>9.7226111E8</v>
      </c>
      <c r="F11" s="171">
        <v>9.7226111E8</v>
      </c>
      <c r="G11" s="171">
        <v>9.69974606E8</v>
      </c>
      <c r="H11" s="171">
        <v>9.69939906E8</v>
      </c>
      <c r="I11" s="171">
        <v>9.69939906E8</v>
      </c>
      <c r="J11" s="171">
        <v>9.69939906E8</v>
      </c>
      <c r="K11" s="171">
        <v>9.67740599E8</v>
      </c>
      <c r="L11" s="171">
        <v>9.66056725E8</v>
      </c>
      <c r="M11" s="171">
        <v>9.61970294E8</v>
      </c>
      <c r="N11" s="171">
        <v>9.61172298E8</v>
      </c>
      <c r="O11" s="171">
        <v>9.64158288E8</v>
      </c>
      <c r="P11" s="171">
        <v>6.38434184E8</v>
      </c>
      <c r="Q11" s="171">
        <v>6.39967331E8</v>
      </c>
      <c r="R11" s="171">
        <v>6.37801637E8</v>
      </c>
    </row>
    <row r="12" ht="13.5" customHeight="1">
      <c r="A12" s="172" t="s">
        <v>382</v>
      </c>
      <c r="B12" s="173">
        <v>0.0475</v>
      </c>
      <c r="C12" s="173">
        <v>0.0737</v>
      </c>
      <c r="D12" s="173">
        <v>0.0721</v>
      </c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</row>
    <row r="13" ht="13.5" customHeight="1">
      <c r="A13" s="179" t="s">
        <v>383</v>
      </c>
      <c r="B13" s="196">
        <v>1.92500909874E10</v>
      </c>
      <c r="C13" s="196" t="s">
        <v>437</v>
      </c>
      <c r="D13" s="197">
        <v>1.532413600674E10</v>
      </c>
      <c r="E13" s="196"/>
      <c r="F13" s="196"/>
      <c r="G13" s="196"/>
      <c r="H13" s="196"/>
      <c r="I13" s="196"/>
      <c r="J13" s="196"/>
      <c r="K13" s="175"/>
      <c r="L13" s="175"/>
      <c r="M13" s="175"/>
      <c r="N13" s="175"/>
      <c r="O13" s="175"/>
    </row>
    <row r="14" ht="13.5" customHeight="1">
      <c r="A14" s="179" t="s">
        <v>438</v>
      </c>
      <c r="B14" s="173">
        <v>0.026</v>
      </c>
      <c r="C14" s="173">
        <v>-0.0645</v>
      </c>
      <c r="D14" s="173">
        <v>-0.0702</v>
      </c>
      <c r="E14" s="173"/>
      <c r="F14" s="173"/>
      <c r="G14" s="173"/>
      <c r="H14" s="173"/>
      <c r="I14" s="173"/>
      <c r="J14" s="173"/>
      <c r="K14" s="177"/>
      <c r="L14" s="177"/>
      <c r="M14" s="177"/>
      <c r="N14" s="177"/>
      <c r="O14" s="177"/>
    </row>
    <row r="15" ht="13.5" customHeight="1">
      <c r="A15" s="179" t="s">
        <v>439</v>
      </c>
      <c r="B15" s="173">
        <v>0.3685</v>
      </c>
      <c r="C15" s="173">
        <v>0.235</v>
      </c>
      <c r="D15" s="173">
        <v>0.2413</v>
      </c>
      <c r="F15" s="173"/>
      <c r="G15" s="173"/>
      <c r="H15" s="173"/>
      <c r="I15" s="173"/>
      <c r="J15" s="173"/>
      <c r="K15" s="177"/>
      <c r="L15" s="177"/>
      <c r="M15" s="177"/>
      <c r="N15" s="177"/>
      <c r="O15" s="177"/>
    </row>
    <row r="16" ht="13.5" customHeight="1">
      <c r="A16" s="179" t="s">
        <v>440</v>
      </c>
      <c r="B16" s="173"/>
      <c r="C16" s="173">
        <v>0.0735</v>
      </c>
      <c r="D16" s="173">
        <v>0.0819</v>
      </c>
      <c r="E16" s="173"/>
      <c r="F16" s="173"/>
      <c r="G16" s="173"/>
      <c r="H16" s="173"/>
      <c r="I16" s="173"/>
      <c r="J16" s="173"/>
      <c r="K16" s="177"/>
      <c r="L16" s="177"/>
      <c r="M16" s="177"/>
      <c r="N16" s="177"/>
      <c r="O16" s="177"/>
    </row>
    <row r="17" ht="13.5" customHeight="1">
      <c r="A17" s="179" t="s">
        <v>389</v>
      </c>
      <c r="B17" s="198">
        <v>12.08</v>
      </c>
      <c r="C17" s="198">
        <v>13.11</v>
      </c>
      <c r="D17" s="198">
        <v>13.13</v>
      </c>
      <c r="E17" s="198"/>
      <c r="F17" s="198"/>
      <c r="G17" s="198"/>
      <c r="H17" s="198"/>
      <c r="I17" s="198"/>
      <c r="J17" s="198"/>
      <c r="K17" s="199"/>
      <c r="L17" s="199"/>
      <c r="M17" s="199"/>
      <c r="N17" s="199"/>
      <c r="O17" s="199"/>
    </row>
    <row r="18" ht="13.5" customHeight="1">
      <c r="A18" s="179" t="s">
        <v>390</v>
      </c>
      <c r="B18" s="200">
        <v>-0.2265</v>
      </c>
      <c r="C18" s="200">
        <v>0.0726</v>
      </c>
      <c r="D18" s="200">
        <v>0.0747</v>
      </c>
      <c r="E18" s="200"/>
      <c r="F18" s="200"/>
      <c r="G18" s="200"/>
      <c r="H18" s="200"/>
      <c r="I18" s="200"/>
      <c r="J18" s="200"/>
      <c r="K18" s="201"/>
      <c r="L18" s="201"/>
      <c r="M18" s="201"/>
      <c r="N18" s="201"/>
      <c r="O18" s="201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>
      <c r="A1" s="159" t="s">
        <v>124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  <c r="G1" s="159" t="s">
        <v>361</v>
      </c>
      <c r="H1" s="159" t="s">
        <v>362</v>
      </c>
      <c r="I1" s="159" t="s">
        <v>363</v>
      </c>
      <c r="J1" s="159" t="s">
        <v>364</v>
      </c>
      <c r="K1" s="159" t="s">
        <v>365</v>
      </c>
      <c r="L1" s="159" t="s">
        <v>366</v>
      </c>
      <c r="M1" s="159" t="s">
        <v>367</v>
      </c>
      <c r="N1" s="159" t="s">
        <v>368</v>
      </c>
      <c r="O1" s="159" t="s">
        <v>369</v>
      </c>
      <c r="P1" s="159" t="s">
        <v>370</v>
      </c>
      <c r="Q1" s="159" t="s">
        <v>371</v>
      </c>
      <c r="R1" s="159" t="s">
        <v>372</v>
      </c>
    </row>
    <row r="2" ht="13.5" customHeight="1">
      <c r="A2" s="160" t="s">
        <v>428</v>
      </c>
      <c r="B2" s="160"/>
      <c r="C2" s="167">
        <v>9.7472E8</v>
      </c>
      <c r="D2" s="167">
        <v>9.77307E8</v>
      </c>
      <c r="E2" s="167">
        <v>9.41629E8</v>
      </c>
      <c r="F2" s="167">
        <v>9.35211E8</v>
      </c>
      <c r="G2" s="167">
        <v>9.2928E8</v>
      </c>
      <c r="H2" s="167">
        <v>9.00253E8</v>
      </c>
      <c r="I2" s="167">
        <v>8.88368E8</v>
      </c>
      <c r="J2" s="167">
        <v>8.82497E8</v>
      </c>
      <c r="K2" s="167">
        <v>9.00986E8</v>
      </c>
      <c r="L2" s="167">
        <v>9.36129E8</v>
      </c>
      <c r="M2" s="167">
        <v>9.98389E8</v>
      </c>
      <c r="N2" s="167">
        <v>9.85E8</v>
      </c>
      <c r="O2" s="167">
        <v>8.65755E8</v>
      </c>
      <c r="P2" s="167">
        <v>8.535E8</v>
      </c>
      <c r="Q2" s="167">
        <v>8.43299E8</v>
      </c>
      <c r="R2" s="167">
        <v>8.338E8</v>
      </c>
    </row>
    <row r="3" ht="13.5" customHeight="1">
      <c r="A3" s="160" t="s">
        <v>429</v>
      </c>
      <c r="B3" s="160"/>
      <c r="C3" s="167">
        <v>1.050794E9</v>
      </c>
      <c r="D3" s="167">
        <v>1.034404E9</v>
      </c>
      <c r="E3" s="167">
        <v>9.92715E8</v>
      </c>
      <c r="F3" s="167">
        <v>9.99562E8</v>
      </c>
      <c r="G3" s="167">
        <v>9.92748E8</v>
      </c>
      <c r="H3" s="167">
        <v>9.50988E8</v>
      </c>
      <c r="I3" s="167">
        <v>9.54651E8</v>
      </c>
      <c r="J3" s="167">
        <v>9.49257E8</v>
      </c>
      <c r="K3" s="167">
        <v>9.63732E8</v>
      </c>
      <c r="L3" s="167">
        <v>9.98962E8</v>
      </c>
      <c r="M3" s="167">
        <v>1.055583E9</v>
      </c>
      <c r="N3" s="167">
        <v>1.0655E9</v>
      </c>
      <c r="O3" s="167">
        <v>9.32619E8</v>
      </c>
      <c r="P3" s="167">
        <v>9.794E8</v>
      </c>
      <c r="Q3" s="167">
        <v>9.627E8</v>
      </c>
      <c r="R3" s="167">
        <v>9.472E8</v>
      </c>
    </row>
    <row r="4" ht="13.5" customHeight="1">
      <c r="A4" s="160" t="s">
        <v>430</v>
      </c>
      <c r="B4" s="160"/>
      <c r="C4" s="167">
        <v>9.471E8</v>
      </c>
      <c r="D4" s="167">
        <v>9.574E8</v>
      </c>
      <c r="E4" s="167">
        <v>9.191E8</v>
      </c>
      <c r="F4" s="167">
        <v>9.296E8</v>
      </c>
      <c r="G4" s="167">
        <v>9.179E8</v>
      </c>
      <c r="H4" s="167">
        <v>8.747E8</v>
      </c>
      <c r="I4" s="167">
        <v>8.794E8</v>
      </c>
      <c r="J4" s="167">
        <v>8.705E8</v>
      </c>
      <c r="K4" s="167">
        <v>8.703E8</v>
      </c>
      <c r="L4" s="167">
        <v>9.069E8</v>
      </c>
      <c r="M4" s="167">
        <v>9.639E8</v>
      </c>
      <c r="N4" s="167">
        <v>9.516E8</v>
      </c>
      <c r="O4" s="167">
        <v>8.587E8</v>
      </c>
      <c r="P4" s="167">
        <v>8.699E8</v>
      </c>
      <c r="Q4" s="167">
        <v>8.455E8</v>
      </c>
      <c r="R4" s="167">
        <v>8.294E8</v>
      </c>
    </row>
    <row r="5" ht="13.5" customHeight="1">
      <c r="A5" s="160" t="s">
        <v>431</v>
      </c>
      <c r="B5" s="160"/>
      <c r="C5" s="169">
        <v>0.9013</v>
      </c>
      <c r="D5" s="169">
        <v>0.9256</v>
      </c>
      <c r="E5" s="169">
        <v>0.9258</v>
      </c>
      <c r="F5" s="169">
        <v>0.93</v>
      </c>
      <c r="G5" s="169">
        <v>0.9246</v>
      </c>
      <c r="H5" s="169">
        <v>0.9198</v>
      </c>
      <c r="I5" s="169">
        <v>0.9212</v>
      </c>
      <c r="J5" s="169">
        <v>0.917</v>
      </c>
      <c r="K5" s="169">
        <v>0.8187</v>
      </c>
      <c r="L5" s="169">
        <v>0.9078</v>
      </c>
      <c r="M5" s="169">
        <v>0.9131</v>
      </c>
      <c r="N5" s="169">
        <v>0.8931</v>
      </c>
      <c r="O5" s="169">
        <v>0.9207</v>
      </c>
      <c r="P5" s="169">
        <v>0.8882</v>
      </c>
      <c r="Q5" s="169">
        <v>0.8783</v>
      </c>
      <c r="R5" s="169">
        <v>0.8756</v>
      </c>
    </row>
    <row r="6" ht="13.5" customHeight="1">
      <c r="A6" s="160" t="s">
        <v>432</v>
      </c>
      <c r="B6" s="160"/>
      <c r="C6" s="167">
        <v>6.316E8</v>
      </c>
      <c r="D6" s="167">
        <v>6.459E8</v>
      </c>
      <c r="E6" s="167">
        <v>6.193E8</v>
      </c>
      <c r="F6" s="167">
        <v>6.245E8</v>
      </c>
      <c r="G6" s="167">
        <v>6.048E8</v>
      </c>
      <c r="H6" s="167">
        <v>5.752E8</v>
      </c>
      <c r="I6" s="167">
        <v>5.775E8</v>
      </c>
      <c r="J6" s="167">
        <v>5.675E8</v>
      </c>
      <c r="K6" s="167">
        <v>5.596E8</v>
      </c>
      <c r="L6" s="167">
        <v>5.763E8</v>
      </c>
      <c r="M6" s="167">
        <v>6.087E8</v>
      </c>
      <c r="N6" s="167">
        <v>6.549E8</v>
      </c>
      <c r="O6" s="167">
        <v>5.716E8</v>
      </c>
      <c r="P6" s="167">
        <v>5.917E8</v>
      </c>
      <c r="Q6" s="167">
        <v>5.758E8</v>
      </c>
      <c r="R6" s="167">
        <v>5.646E8</v>
      </c>
    </row>
    <row r="7" ht="13.5" customHeight="1">
      <c r="A7" s="160" t="s">
        <v>433</v>
      </c>
      <c r="B7" s="160"/>
      <c r="C7" s="169">
        <v>0.6011</v>
      </c>
      <c r="D7" s="169">
        <v>0.6244</v>
      </c>
      <c r="E7" s="169">
        <v>0.6238</v>
      </c>
      <c r="F7" s="169">
        <v>0.6248</v>
      </c>
      <c r="G7" s="169">
        <v>0.6092</v>
      </c>
      <c r="H7" s="169">
        <v>0.6048</v>
      </c>
      <c r="I7" s="169">
        <v>0.6049</v>
      </c>
      <c r="J7" s="169">
        <v>0.5978</v>
      </c>
      <c r="K7" s="169">
        <v>0.5807</v>
      </c>
      <c r="L7" s="169">
        <v>0.5769</v>
      </c>
      <c r="M7" s="169">
        <v>0.5766</v>
      </c>
      <c r="N7" s="169">
        <v>0.6146</v>
      </c>
      <c r="O7" s="169">
        <v>0.6129</v>
      </c>
      <c r="P7" s="169">
        <v>0.6041</v>
      </c>
      <c r="Q7" s="169">
        <v>0.5981</v>
      </c>
      <c r="R7" s="169">
        <v>0.5961</v>
      </c>
    </row>
    <row r="8" ht="13.5" customHeight="1">
      <c r="A8" s="160" t="s">
        <v>434</v>
      </c>
      <c r="B8" s="160"/>
      <c r="C8" s="161">
        <v>0.83</v>
      </c>
      <c r="D8" s="161">
        <v>0.85</v>
      </c>
      <c r="E8" s="161">
        <v>0.79</v>
      </c>
      <c r="F8" s="161">
        <v>0.89</v>
      </c>
      <c r="G8" s="161">
        <v>0.79</v>
      </c>
      <c r="H8" s="161">
        <v>0.76</v>
      </c>
      <c r="I8" s="161">
        <v>0.76</v>
      </c>
      <c r="J8" s="161">
        <v>0.75</v>
      </c>
      <c r="K8" s="161">
        <v>0.73</v>
      </c>
      <c r="L8" s="161">
        <v>0.76</v>
      </c>
      <c r="M8" s="161">
        <v>0.8</v>
      </c>
      <c r="N8" s="161">
        <v>0.86</v>
      </c>
      <c r="O8" s="161">
        <v>0.75</v>
      </c>
      <c r="P8" s="161">
        <v>0.77</v>
      </c>
      <c r="Q8" s="161">
        <v>0.75</v>
      </c>
      <c r="R8" s="161">
        <v>0.73</v>
      </c>
    </row>
    <row r="9" ht="13.5" customHeight="1">
      <c r="A9" s="160" t="s">
        <v>435</v>
      </c>
      <c r="B9" s="160"/>
      <c r="C9" s="167">
        <v>3.806445E8</v>
      </c>
      <c r="D9" s="161">
        <v>3.7934586374E8</v>
      </c>
      <c r="E9" s="161">
        <v>3.9075774042E8</v>
      </c>
      <c r="F9" s="161">
        <v>3.5191068138E8</v>
      </c>
      <c r="G9" s="167">
        <v>3.61612275E8</v>
      </c>
      <c r="H9" s="167">
        <v>3.616118E8</v>
      </c>
      <c r="I9" s="167">
        <v>3.616118E8</v>
      </c>
      <c r="J9" s="167">
        <v>3.61770925E8</v>
      </c>
      <c r="K9" s="161">
        <v>3.6177116107E8</v>
      </c>
      <c r="L9" s="161">
        <v>3.6177116107E8</v>
      </c>
      <c r="M9" s="161">
        <v>3.6177116107E8</v>
      </c>
      <c r="N9" s="161">
        <v>3.6177116107E8</v>
      </c>
      <c r="O9" s="167">
        <v>3.483935E8</v>
      </c>
      <c r="P9" s="167">
        <v>3.483935E8</v>
      </c>
      <c r="Q9" s="167">
        <v>3.4265E8</v>
      </c>
      <c r="R9" s="167">
        <v>3.2725E8</v>
      </c>
    </row>
    <row r="10" ht="13.5" customHeight="1">
      <c r="A10" s="160" t="s">
        <v>154</v>
      </c>
      <c r="B10" s="194">
        <f t="array" ref="B10">IF(SUMIFS(INDIRECT("'"&amp;A$1&amp;"_DIV'!"&amp;"C:C"),INDIRECT("'"&amp;A$1&amp;"_DIV'!"&amp;"E:E"),B1)=0,"",SUMIFS(INDIRECT("'"&amp;A$1&amp;"_DIV'!"&amp;"C:C"),INDIRECT("'"&amp;A$1&amp;"_DIV'!"&amp;"E:E"),B1))</f>
        <v>0.525</v>
      </c>
      <c r="C10" s="194">
        <f t="array" ref="C10">SUMIFS(INDIRECT("'"&amp;A$1&amp;"_DIV'!"&amp;"C:C"),INDIRECT("'"&amp;A$1&amp;"_DIV'!"&amp;"E:E"),C1)</f>
        <v>1.878824</v>
      </c>
      <c r="D10" s="194">
        <f t="array" ref="D10">SUMIFS(INDIRECT("'"&amp;A$1&amp;"_DIV'!"&amp;"C:C"),INDIRECT("'"&amp;A$1&amp;"_DIV'!"&amp;"E:E"),D1)</f>
        <v>0</v>
      </c>
      <c r="E10" s="194">
        <f t="array" ref="E10">SUMIFS(INDIRECT("'"&amp;A$1&amp;"_DIV'!"&amp;"C:C"),INDIRECT("'"&amp;A$1&amp;"_DIV'!"&amp;"E:E"),E1)</f>
        <v>0.5</v>
      </c>
      <c r="F10" s="194">
        <f t="array" ref="F10">SUMIFS(INDIRECT("'"&amp;A$1&amp;"_DIV'!"&amp;"C:C"),INDIRECT("'"&amp;A$1&amp;"_DIV'!"&amp;"E:E"),F1)</f>
        <v>0.5</v>
      </c>
      <c r="G10" s="194">
        <f t="array" ref="G10">SUMIFS(INDIRECT("'"&amp;A$1&amp;"_DIV'!"&amp;"C:C"),INDIRECT("'"&amp;A$1&amp;"_DIV'!"&amp;"E:E"),G1)</f>
        <v>0.95</v>
      </c>
      <c r="H10" s="194">
        <f t="array" ref="H10">SUMIFS(INDIRECT("'"&amp;A$1&amp;"_DIV'!"&amp;"C:C"),INDIRECT("'"&amp;A$1&amp;"_DIV'!"&amp;"E:E"),H1)</f>
        <v>0</v>
      </c>
      <c r="I10" s="194">
        <f t="array" ref="I10">SUMIFS(INDIRECT("'"&amp;A$1&amp;"_DIV'!"&amp;"C:C"),INDIRECT("'"&amp;A$1&amp;"_DIV'!"&amp;"E:E"),I1)</f>
        <v>0.475</v>
      </c>
      <c r="J10" s="161">
        <v>0.47</v>
      </c>
      <c r="K10" s="161">
        <v>0.47</v>
      </c>
      <c r="L10" s="161">
        <v>0.47</v>
      </c>
      <c r="M10" s="161">
        <v>0.47</v>
      </c>
      <c r="N10" s="161">
        <v>0.47</v>
      </c>
      <c r="O10" s="161">
        <v>0.46</v>
      </c>
      <c r="P10" s="161">
        <v>0.46</v>
      </c>
      <c r="Q10" s="161">
        <v>0.45</v>
      </c>
      <c r="R10" s="161">
        <v>0.42</v>
      </c>
    </row>
    <row r="11" ht="13.5" customHeight="1">
      <c r="A11" s="160" t="s">
        <v>436</v>
      </c>
      <c r="B11" s="160"/>
      <c r="C11" s="171">
        <v>7.61289E8</v>
      </c>
      <c r="D11" s="202">
        <v>7.5869172747E8</v>
      </c>
      <c r="E11" s="202">
        <v>7.8151548084E8</v>
      </c>
      <c r="F11" s="202">
        <v>7.0382136275E8</v>
      </c>
      <c r="G11" s="171">
        <v>7.61289E8</v>
      </c>
      <c r="H11" s="171">
        <v>7.61288E8</v>
      </c>
      <c r="I11" s="171">
        <v>7.61288E8</v>
      </c>
      <c r="J11" s="171">
        <v>7.61623E8</v>
      </c>
      <c r="K11" s="171">
        <v>7.61623497E8</v>
      </c>
      <c r="L11" s="171">
        <v>7.61623497E8</v>
      </c>
      <c r="M11" s="171">
        <v>7.61623497E8</v>
      </c>
      <c r="N11" s="171">
        <v>7.61623497E8</v>
      </c>
      <c r="O11" s="171">
        <v>7.657E8</v>
      </c>
      <c r="P11" s="171">
        <v>7.657E8</v>
      </c>
      <c r="Q11" s="171">
        <v>7.7E8</v>
      </c>
      <c r="R11" s="171">
        <v>7.7E8</v>
      </c>
    </row>
    <row r="12" ht="13.5" customHeight="1">
      <c r="A12" s="172" t="s">
        <v>382</v>
      </c>
      <c r="B12" s="173"/>
      <c r="C12" s="173">
        <v>0.0693</v>
      </c>
      <c r="D12" s="173">
        <v>0.0686</v>
      </c>
      <c r="E12" s="173"/>
      <c r="F12" s="173"/>
      <c r="G12" s="173"/>
      <c r="H12" s="173"/>
      <c r="I12" s="173"/>
      <c r="J12" s="173"/>
    </row>
    <row r="13" ht="13.5" customHeight="1">
      <c r="A13" s="179" t="s">
        <v>383</v>
      </c>
      <c r="B13" s="175"/>
      <c r="C13" s="203">
        <v>2.248844752E10</v>
      </c>
      <c r="D13" s="203">
        <v>2.112956461011E10</v>
      </c>
      <c r="E13" s="203"/>
      <c r="F13" s="203"/>
      <c r="G13" s="203"/>
      <c r="H13" s="203"/>
      <c r="I13" s="203"/>
      <c r="J13" s="203"/>
    </row>
    <row r="14" ht="13.5" customHeight="1">
      <c r="A14" s="179" t="s">
        <v>438</v>
      </c>
      <c r="B14" s="177"/>
      <c r="C14" s="177">
        <v>-0.3079</v>
      </c>
      <c r="D14" s="177">
        <v>-0.3976</v>
      </c>
      <c r="E14" s="177"/>
      <c r="F14" s="177"/>
      <c r="G14" s="177"/>
      <c r="H14" s="177"/>
      <c r="I14" s="177"/>
      <c r="J14" s="177"/>
    </row>
    <row r="15" ht="13.5" customHeight="1">
      <c r="A15" s="179" t="s">
        <v>439</v>
      </c>
      <c r="B15" s="177"/>
      <c r="C15" s="177">
        <v>0.3167</v>
      </c>
      <c r="D15" s="177">
        <v>0.3203</v>
      </c>
      <c r="F15" s="177"/>
      <c r="G15" s="177"/>
      <c r="H15" s="177"/>
      <c r="I15" s="177"/>
      <c r="J15" s="177"/>
    </row>
    <row r="16" ht="13.5" customHeight="1">
      <c r="A16" s="179" t="s">
        <v>440</v>
      </c>
      <c r="B16" s="177"/>
      <c r="C16" s="177">
        <v>0.0643</v>
      </c>
      <c r="D16" s="177">
        <v>0.0718</v>
      </c>
      <c r="E16" s="177"/>
      <c r="F16" s="177"/>
      <c r="G16" s="177"/>
      <c r="H16" s="177"/>
      <c r="I16" s="177"/>
      <c r="J16" s="177"/>
    </row>
    <row r="17" ht="13.5" customHeight="1">
      <c r="A17" s="179" t="s">
        <v>389</v>
      </c>
      <c r="B17" s="199"/>
      <c r="C17" s="199">
        <v>45.39</v>
      </c>
      <c r="D17" s="199">
        <v>46.23</v>
      </c>
      <c r="E17" s="199"/>
      <c r="F17" s="199"/>
      <c r="G17" s="199"/>
      <c r="H17" s="199"/>
      <c r="I17" s="199"/>
      <c r="J17" s="199"/>
    </row>
    <row r="18" ht="13.5" customHeight="1">
      <c r="A18" s="179" t="s">
        <v>390</v>
      </c>
      <c r="B18" s="201"/>
      <c r="C18" s="201">
        <v>0.0948</v>
      </c>
      <c r="D18" s="201">
        <v>0.0946</v>
      </c>
      <c r="E18" s="201"/>
      <c r="F18" s="201"/>
      <c r="G18" s="201"/>
      <c r="H18" s="201"/>
      <c r="I18" s="201"/>
      <c r="J18" s="201"/>
    </row>
    <row r="19" ht="13.5" customHeight="1"/>
    <row r="20" ht="13.5" customHeight="1"/>
    <row r="21" ht="13.5" customHeight="1"/>
    <row r="22" ht="13.5" customHeight="1"/>
    <row r="23" ht="13.5" customHeight="1">
      <c r="E23" s="204" t="str">
        <f t="array" ref="E23">SUMIFS(INDIRECT("'"&amp;D$1&amp;"_DIV'!"&amp;"C:C"),INDIRECT("'"&amp;D$1&amp;"_DIV'!"&amp;"E:E"),E16)</f>
        <v>#N/A</v>
      </c>
    </row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6" t="s">
        <v>129</v>
      </c>
      <c r="B1" s="166" t="s">
        <v>155</v>
      </c>
    </row>
    <row r="2">
      <c r="A2" s="103" t="s">
        <v>441</v>
      </c>
      <c r="B2" s="103" t="s">
        <v>442</v>
      </c>
      <c r="C2" s="187">
        <f t="shared" ref="C2:C29" si="1">VALUE(SUBSTITUTE(SUBSTITUTE(B2,"MXN $",""),"",""))</f>
        <v>0.525</v>
      </c>
      <c r="D2" s="188" t="str">
        <f t="shared" ref="D2:D29" si="2">SUBSTITUTE(SUBSTITUTE(A2,"de",""),"","")</f>
        <v>15  junio  2023</v>
      </c>
      <c r="E2" s="189" t="str">
        <f t="shared" ref="E2:E29" si="3">IF(IF(ROUNDUP(MONTH(D2)/3,0)-1=0,4,ROUNDUP(MONTH(D2)/3,0)-1)=4,YEAR(D2)-1,YEAR(D2)) &amp; " Q" &amp; IF(ROUNDUP(MONTH(D2)/3,0)-1=0,4,ROUNDUP(MONTH(D2)/3,0)-1)</f>
        <v>2023 Q1</v>
      </c>
      <c r="F2" s="103" t="s">
        <v>97</v>
      </c>
    </row>
    <row r="3">
      <c r="A3" s="166" t="s">
        <v>160</v>
      </c>
      <c r="B3" s="166" t="s">
        <v>443</v>
      </c>
      <c r="C3" s="187">
        <f t="shared" si="1"/>
        <v>0.878824</v>
      </c>
      <c r="D3" s="188" t="str">
        <f t="shared" si="2"/>
        <v>10  marzo  2023</v>
      </c>
      <c r="E3" s="189" t="str">
        <f t="shared" si="3"/>
        <v>2022 Q4</v>
      </c>
      <c r="F3" s="166" t="s">
        <v>132</v>
      </c>
    </row>
    <row r="4">
      <c r="A4" s="166" t="s">
        <v>164</v>
      </c>
      <c r="B4" s="166" t="s">
        <v>444</v>
      </c>
      <c r="C4" s="187">
        <f t="shared" si="1"/>
        <v>0.5</v>
      </c>
      <c r="D4" s="188" t="str">
        <f t="shared" si="2"/>
        <v>3  marzo  2023</v>
      </c>
      <c r="E4" s="189" t="str">
        <f t="shared" si="3"/>
        <v>2022 Q4</v>
      </c>
      <c r="F4" s="166" t="s">
        <v>132</v>
      </c>
    </row>
    <row r="5">
      <c r="A5" s="166" t="s">
        <v>170</v>
      </c>
      <c r="B5" s="166" t="s">
        <v>444</v>
      </c>
      <c r="C5" s="187">
        <f t="shared" si="1"/>
        <v>0.5</v>
      </c>
      <c r="D5" s="188" t="str">
        <f t="shared" si="2"/>
        <v>30  enero  2023</v>
      </c>
      <c r="E5" s="189" t="str">
        <f t="shared" si="3"/>
        <v>2022 Q4</v>
      </c>
      <c r="F5" s="166" t="s">
        <v>132</v>
      </c>
    </row>
    <row r="6">
      <c r="A6" s="166" t="s">
        <v>180</v>
      </c>
      <c r="B6" s="166" t="s">
        <v>444</v>
      </c>
      <c r="C6" s="187">
        <f t="shared" si="1"/>
        <v>0.5</v>
      </c>
      <c r="D6" s="188" t="str">
        <f t="shared" si="2"/>
        <v>28  septiembre  2022</v>
      </c>
      <c r="E6" s="189" t="str">
        <f t="shared" si="3"/>
        <v>2022 Q2</v>
      </c>
    </row>
    <row r="7">
      <c r="A7" s="166" t="s">
        <v>445</v>
      </c>
      <c r="B7" s="166" t="s">
        <v>444</v>
      </c>
      <c r="C7" s="187">
        <f t="shared" si="1"/>
        <v>0.5</v>
      </c>
      <c r="D7" s="188" t="str">
        <f t="shared" si="2"/>
        <v>16  junio  2022</v>
      </c>
      <c r="E7" s="189" t="str">
        <f t="shared" si="3"/>
        <v>2022 Q1</v>
      </c>
    </row>
    <row r="8">
      <c r="A8" s="166" t="s">
        <v>198</v>
      </c>
      <c r="B8" s="166" t="s">
        <v>446</v>
      </c>
      <c r="C8" s="187">
        <f t="shared" si="1"/>
        <v>0.475</v>
      </c>
      <c r="D8" s="188" t="str">
        <f t="shared" si="2"/>
        <v>11  marzo  2022</v>
      </c>
      <c r="E8" s="189" t="str">
        <f t="shared" si="3"/>
        <v>2021 Q4</v>
      </c>
    </row>
    <row r="9">
      <c r="A9" s="166" t="s">
        <v>447</v>
      </c>
      <c r="B9" s="166" t="s">
        <v>446</v>
      </c>
      <c r="C9" s="187">
        <f t="shared" si="1"/>
        <v>0.475</v>
      </c>
      <c r="D9" s="188" t="str">
        <f t="shared" si="2"/>
        <v>28  enero  2022</v>
      </c>
      <c r="E9" s="189" t="str">
        <f t="shared" si="3"/>
        <v>2021 Q4</v>
      </c>
    </row>
    <row r="10">
      <c r="A10" s="166" t="s">
        <v>448</v>
      </c>
      <c r="B10" s="166" t="s">
        <v>446</v>
      </c>
      <c r="C10" s="187">
        <f t="shared" si="1"/>
        <v>0.475</v>
      </c>
      <c r="D10" s="188" t="str">
        <f t="shared" si="2"/>
        <v>27  septiembre  2021</v>
      </c>
      <c r="E10" s="189" t="str">
        <f t="shared" si="3"/>
        <v>2021 Q2</v>
      </c>
    </row>
    <row r="11">
      <c r="A11" s="166" t="s">
        <v>449</v>
      </c>
      <c r="B11" s="166" t="s">
        <v>446</v>
      </c>
      <c r="C11" s="187">
        <f t="shared" si="1"/>
        <v>0.475</v>
      </c>
      <c r="D11" s="188" t="str">
        <f t="shared" si="2"/>
        <v>15  junio  2021</v>
      </c>
      <c r="E11" s="189" t="str">
        <f t="shared" si="3"/>
        <v>2021 Q1</v>
      </c>
    </row>
    <row r="12">
      <c r="A12" s="166" t="s">
        <v>450</v>
      </c>
      <c r="B12" s="166" t="s">
        <v>446</v>
      </c>
      <c r="C12" s="187">
        <f t="shared" si="1"/>
        <v>0.475</v>
      </c>
      <c r="D12" s="188" t="str">
        <f t="shared" si="2"/>
        <v>12  marzo  2021</v>
      </c>
      <c r="E12" s="189" t="str">
        <f t="shared" si="3"/>
        <v>2020 Q4</v>
      </c>
    </row>
    <row r="13">
      <c r="A13" s="166" t="s">
        <v>451</v>
      </c>
      <c r="B13" s="166" t="s">
        <v>452</v>
      </c>
      <c r="C13" s="187">
        <f t="shared" si="1"/>
        <v>0.008171</v>
      </c>
      <c r="D13" s="188" t="str">
        <f t="shared" si="2"/>
        <v>28  enero  2021</v>
      </c>
      <c r="E13" s="189" t="str">
        <f t="shared" si="3"/>
        <v>2020 Q4</v>
      </c>
    </row>
    <row r="14">
      <c r="A14" s="166" t="s">
        <v>451</v>
      </c>
      <c r="B14" s="166" t="s">
        <v>453</v>
      </c>
      <c r="C14" s="187">
        <f t="shared" si="1"/>
        <v>0.466829</v>
      </c>
      <c r="D14" s="188" t="str">
        <f t="shared" si="2"/>
        <v>28  enero  2021</v>
      </c>
      <c r="E14" s="189" t="str">
        <f t="shared" si="3"/>
        <v>2020 Q4</v>
      </c>
    </row>
    <row r="15">
      <c r="A15" s="166" t="s">
        <v>247</v>
      </c>
      <c r="B15" s="166" t="s">
        <v>454</v>
      </c>
      <c r="C15" s="187">
        <f t="shared" si="1"/>
        <v>0.11875</v>
      </c>
      <c r="D15" s="188" t="str">
        <f t="shared" si="2"/>
        <v>25  septiembre  2020</v>
      </c>
      <c r="E15" s="189" t="str">
        <f t="shared" si="3"/>
        <v>2020 Q2</v>
      </c>
    </row>
    <row r="16">
      <c r="A16" s="166" t="s">
        <v>247</v>
      </c>
      <c r="B16" s="166" t="s">
        <v>455</v>
      </c>
      <c r="C16" s="187">
        <f t="shared" si="1"/>
        <v>0.35625</v>
      </c>
      <c r="D16" s="188" t="str">
        <f t="shared" si="2"/>
        <v>25  septiembre  2020</v>
      </c>
      <c r="E16" s="189" t="str">
        <f t="shared" si="3"/>
        <v>2020 Q2</v>
      </c>
    </row>
    <row r="17">
      <c r="A17" s="166" t="s">
        <v>456</v>
      </c>
      <c r="B17" s="166" t="s">
        <v>446</v>
      </c>
      <c r="C17" s="187">
        <f t="shared" si="1"/>
        <v>0.475</v>
      </c>
      <c r="D17" s="188" t="str">
        <f t="shared" si="2"/>
        <v>12  junio  2020</v>
      </c>
      <c r="E17" s="189" t="str">
        <f t="shared" si="3"/>
        <v>2020 Q1</v>
      </c>
    </row>
    <row r="18">
      <c r="A18" s="166" t="s">
        <v>457</v>
      </c>
      <c r="B18" s="166" t="s">
        <v>458</v>
      </c>
      <c r="C18" s="187">
        <f t="shared" si="1"/>
        <v>0.338893</v>
      </c>
      <c r="D18" s="188" t="str">
        <f t="shared" si="2"/>
        <v>11  marzo  2020</v>
      </c>
      <c r="E18" s="189" t="str">
        <f t="shared" si="3"/>
        <v>2019 Q4</v>
      </c>
    </row>
    <row r="19">
      <c r="A19" s="166" t="s">
        <v>457</v>
      </c>
      <c r="B19" s="166" t="s">
        <v>459</v>
      </c>
      <c r="C19" s="187">
        <f t="shared" si="1"/>
        <v>0.116107</v>
      </c>
      <c r="D19" s="188" t="str">
        <f t="shared" si="2"/>
        <v>11  marzo  2020</v>
      </c>
      <c r="E19" s="189" t="str">
        <f t="shared" si="3"/>
        <v>2019 Q4</v>
      </c>
    </row>
    <row r="20">
      <c r="A20" s="166" t="s">
        <v>460</v>
      </c>
      <c r="B20" s="166" t="s">
        <v>461</v>
      </c>
      <c r="C20" s="187">
        <f t="shared" si="1"/>
        <v>0.455</v>
      </c>
      <c r="D20" s="188" t="str">
        <f t="shared" si="2"/>
        <v>24  enero  2020</v>
      </c>
      <c r="E20" s="189" t="str">
        <f t="shared" si="3"/>
        <v>2019 Q4</v>
      </c>
    </row>
    <row r="21">
      <c r="A21" s="166" t="s">
        <v>462</v>
      </c>
      <c r="B21" s="166" t="s">
        <v>463</v>
      </c>
      <c r="C21" s="187">
        <f t="shared" si="1"/>
        <v>0.356</v>
      </c>
      <c r="D21" s="188" t="str">
        <f t="shared" si="2"/>
        <v>25  septiembre  2019</v>
      </c>
      <c r="E21" s="189" t="str">
        <f t="shared" si="3"/>
        <v>2019 Q2</v>
      </c>
    </row>
    <row r="22">
      <c r="A22" s="166" t="s">
        <v>462</v>
      </c>
      <c r="B22" s="166" t="s">
        <v>464</v>
      </c>
      <c r="C22" s="187">
        <f t="shared" si="1"/>
        <v>0.089</v>
      </c>
      <c r="D22" s="188" t="str">
        <f t="shared" si="2"/>
        <v>25  septiembre  2019</v>
      </c>
      <c r="E22" s="189" t="str">
        <f t="shared" si="3"/>
        <v>2019 Q2</v>
      </c>
    </row>
    <row r="23">
      <c r="A23" s="166" t="s">
        <v>291</v>
      </c>
      <c r="B23" s="166" t="s">
        <v>465</v>
      </c>
      <c r="C23" s="187">
        <f t="shared" si="1"/>
        <v>0.2125</v>
      </c>
      <c r="D23" s="188" t="str">
        <f t="shared" si="2"/>
        <v>14  junio  2019</v>
      </c>
      <c r="E23" s="189" t="str">
        <f t="shared" si="3"/>
        <v>2019 Q1</v>
      </c>
    </row>
    <row r="24">
      <c r="A24" s="166" t="s">
        <v>291</v>
      </c>
      <c r="B24" s="166" t="s">
        <v>465</v>
      </c>
      <c r="C24" s="187">
        <f t="shared" si="1"/>
        <v>0.2125</v>
      </c>
      <c r="D24" s="188" t="str">
        <f t="shared" si="2"/>
        <v>14  junio  2019</v>
      </c>
      <c r="E24" s="189" t="str">
        <f t="shared" si="3"/>
        <v>2019 Q1</v>
      </c>
    </row>
    <row r="25">
      <c r="A25" s="166" t="s">
        <v>308</v>
      </c>
      <c r="B25" s="166" t="s">
        <v>466</v>
      </c>
      <c r="C25" s="187">
        <f t="shared" si="1"/>
        <v>0.41</v>
      </c>
      <c r="D25" s="188" t="str">
        <f t="shared" si="2"/>
        <v>13  marzo  2019</v>
      </c>
      <c r="E25" s="189" t="str">
        <f t="shared" si="3"/>
        <v>2018 Q4</v>
      </c>
    </row>
    <row r="26">
      <c r="A26" s="166" t="s">
        <v>321</v>
      </c>
      <c r="B26" s="166" t="s">
        <v>466</v>
      </c>
      <c r="C26" s="187">
        <f t="shared" si="1"/>
        <v>0.41</v>
      </c>
      <c r="D26" s="188" t="str">
        <f t="shared" si="2"/>
        <v>9  noviembre  2018</v>
      </c>
      <c r="E26" s="189" t="str">
        <f t="shared" si="3"/>
        <v>2018 Q3</v>
      </c>
    </row>
    <row r="27">
      <c r="A27" s="166" t="s">
        <v>331</v>
      </c>
      <c r="B27" s="166" t="s">
        <v>467</v>
      </c>
      <c r="C27" s="187">
        <f t="shared" si="1"/>
        <v>0.39</v>
      </c>
      <c r="D27" s="188" t="str">
        <f t="shared" si="2"/>
        <v>10  agosto  2018</v>
      </c>
      <c r="E27" s="189" t="str">
        <f t="shared" si="3"/>
        <v>2018 Q2</v>
      </c>
    </row>
    <row r="28">
      <c r="A28" s="166" t="s">
        <v>341</v>
      </c>
      <c r="B28" s="166" t="s">
        <v>467</v>
      </c>
      <c r="C28" s="187">
        <f t="shared" si="1"/>
        <v>0.39</v>
      </c>
      <c r="D28" s="188" t="str">
        <f t="shared" si="2"/>
        <v>10  mayo  2018</v>
      </c>
      <c r="E28" s="189" t="str">
        <f t="shared" si="3"/>
        <v>2018 Q1</v>
      </c>
    </row>
    <row r="29">
      <c r="A29" s="166" t="s">
        <v>357</v>
      </c>
      <c r="B29" s="166" t="s">
        <v>468</v>
      </c>
      <c r="C29" s="187">
        <f t="shared" si="1"/>
        <v>0.375</v>
      </c>
      <c r="D29" s="188" t="str">
        <f t="shared" si="2"/>
        <v>9  marzo  2018</v>
      </c>
      <c r="E29" s="189" t="str">
        <f t="shared" si="3"/>
        <v>2017 Q4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6" width="10.71"/>
  </cols>
  <sheetData>
    <row r="1" ht="13.5" customHeight="1">
      <c r="A1" s="159" t="s">
        <v>125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  <c r="G1" s="159" t="s">
        <v>361</v>
      </c>
      <c r="H1" s="159" t="s">
        <v>362</v>
      </c>
      <c r="I1" s="159" t="s">
        <v>363</v>
      </c>
      <c r="J1" s="159" t="s">
        <v>364</v>
      </c>
      <c r="K1" s="159" t="s">
        <v>365</v>
      </c>
      <c r="L1" s="159" t="s">
        <v>366</v>
      </c>
      <c r="M1" s="159" t="s">
        <v>367</v>
      </c>
      <c r="N1" s="159" t="s">
        <v>368</v>
      </c>
      <c r="O1" s="159" t="s">
        <v>369</v>
      </c>
      <c r="P1" s="159" t="s">
        <v>370</v>
      </c>
      <c r="Q1" s="159" t="s">
        <v>371</v>
      </c>
      <c r="R1" s="159" t="s">
        <v>372</v>
      </c>
    </row>
    <row r="2" ht="13.5" customHeight="1">
      <c r="A2" s="160" t="s">
        <v>428</v>
      </c>
      <c r="B2" s="160"/>
      <c r="C2" s="167">
        <v>1.088111E9</v>
      </c>
      <c r="D2" s="167">
        <v>9.61567E8</v>
      </c>
      <c r="E2" s="167">
        <v>9.656E8</v>
      </c>
      <c r="F2" s="167">
        <v>9.4072E8</v>
      </c>
      <c r="G2" s="167">
        <v>9.83325E8</v>
      </c>
      <c r="H2" s="167">
        <v>8.60913E8</v>
      </c>
      <c r="I2" s="167">
        <v>8.45503E8</v>
      </c>
      <c r="J2" s="167">
        <v>7.2365E8</v>
      </c>
      <c r="K2" s="167">
        <v>8.67967E8</v>
      </c>
      <c r="L2" s="167">
        <v>7.95123601E8</v>
      </c>
      <c r="M2" s="167">
        <v>5.89411657E8</v>
      </c>
      <c r="N2" s="167">
        <v>9.89278778E8</v>
      </c>
      <c r="O2" s="167">
        <v>1.063757312E9</v>
      </c>
      <c r="P2" s="167">
        <v>9.93308033E8</v>
      </c>
      <c r="Q2" s="167">
        <v>9.86966079E8</v>
      </c>
      <c r="R2" s="167">
        <v>9.48619033E8</v>
      </c>
    </row>
    <row r="3" ht="13.5" customHeight="1">
      <c r="A3" s="160" t="s">
        <v>429</v>
      </c>
      <c r="B3" s="160"/>
      <c r="C3" s="167">
        <v>1.52356E9</v>
      </c>
      <c r="D3" s="167">
        <v>1.349098E9</v>
      </c>
      <c r="E3" s="167">
        <v>1.338117E9</v>
      </c>
      <c r="F3" s="167">
        <v>1.3023E9</v>
      </c>
      <c r="G3" s="167">
        <v>1.363553E9</v>
      </c>
      <c r="H3" s="167">
        <v>1.199039E9</v>
      </c>
      <c r="I3" s="167">
        <v>1.177505E9</v>
      </c>
      <c r="J3" s="167">
        <v>1.026081E9</v>
      </c>
      <c r="K3" s="167">
        <v>1.241434E9</v>
      </c>
      <c r="L3" s="167">
        <v>1.103832698E9</v>
      </c>
      <c r="M3" s="167">
        <v>8.99821035E8</v>
      </c>
      <c r="N3" s="167">
        <v>1.396624576E9</v>
      </c>
      <c r="O3" s="167">
        <v>1.540460433E9</v>
      </c>
      <c r="P3" s="167">
        <v>1.451409184E9</v>
      </c>
      <c r="Q3" s="167">
        <v>1.439778775E9</v>
      </c>
      <c r="R3" s="167">
        <v>1.362807279E9</v>
      </c>
    </row>
    <row r="4" ht="13.5" customHeight="1">
      <c r="A4" s="160" t="s">
        <v>430</v>
      </c>
      <c r="B4" s="160"/>
      <c r="C4" s="167">
        <v>1.1472E9</v>
      </c>
      <c r="D4" s="167">
        <v>1.067853882E9</v>
      </c>
      <c r="E4" s="167">
        <v>1.056559181E9</v>
      </c>
      <c r="F4" s="167">
        <v>1.05033109E9</v>
      </c>
      <c r="G4" s="167">
        <v>1.072708202E9</v>
      </c>
      <c r="H4" s="167">
        <v>9.69159231E8</v>
      </c>
      <c r="I4" s="167">
        <v>9.49229608E8</v>
      </c>
      <c r="J4" s="167">
        <v>8.4646409E8</v>
      </c>
      <c r="K4" s="167">
        <v>9.79959308E8</v>
      </c>
      <c r="L4" s="167">
        <v>8.90121625E8</v>
      </c>
      <c r="M4" s="167">
        <v>7.3201068E8</v>
      </c>
      <c r="N4" s="167">
        <v>1.130528529E9</v>
      </c>
      <c r="O4" s="167">
        <v>1.238019666E9</v>
      </c>
      <c r="P4" s="167">
        <v>1.180429926E9</v>
      </c>
      <c r="Q4" s="167">
        <v>1.1702E9</v>
      </c>
      <c r="R4" s="167">
        <v>1.1127E9</v>
      </c>
    </row>
    <row r="5" ht="13.5" customHeight="1">
      <c r="A5" s="160" t="s">
        <v>431</v>
      </c>
      <c r="B5" s="160"/>
      <c r="C5" s="169">
        <v>0.753</v>
      </c>
      <c r="D5" s="169">
        <v>0.7915</v>
      </c>
      <c r="E5" s="169">
        <v>0.7896</v>
      </c>
      <c r="F5" s="169">
        <v>0.8065</v>
      </c>
      <c r="G5" s="169">
        <v>0.7867</v>
      </c>
      <c r="H5" s="169">
        <v>0.8083</v>
      </c>
      <c r="I5" s="169">
        <v>0.8061</v>
      </c>
      <c r="J5" s="169">
        <v>0.8249</v>
      </c>
      <c r="K5" s="169">
        <v>0.8182</v>
      </c>
      <c r="L5" s="169">
        <v>0.8064</v>
      </c>
      <c r="M5" s="169">
        <v>0.8135</v>
      </c>
      <c r="N5" s="169">
        <v>0.8095</v>
      </c>
      <c r="O5" s="169">
        <v>0.8037</v>
      </c>
      <c r="P5" s="169">
        <v>0.8133</v>
      </c>
      <c r="Q5" s="169">
        <v>0.8128</v>
      </c>
      <c r="R5" s="169">
        <v>0.8165</v>
      </c>
    </row>
    <row r="6" ht="13.5" customHeight="1">
      <c r="A6" s="160" t="s">
        <v>432</v>
      </c>
      <c r="B6" s="160"/>
      <c r="C6" s="167">
        <v>8.08180068E8</v>
      </c>
      <c r="D6" s="167">
        <v>7.81938607E8</v>
      </c>
      <c r="E6" s="167">
        <v>7.83145623E8</v>
      </c>
      <c r="F6" s="167">
        <v>7.86830176E8</v>
      </c>
      <c r="G6" s="167">
        <v>7.86048342E8</v>
      </c>
      <c r="H6" s="167">
        <v>6.99037722E8</v>
      </c>
      <c r="I6" s="167">
        <v>6.7918781E8</v>
      </c>
      <c r="J6" s="167">
        <v>5.83299253E8</v>
      </c>
      <c r="K6" s="167">
        <v>8.55106733E8</v>
      </c>
      <c r="L6" s="167">
        <v>6.23915956E8</v>
      </c>
      <c r="M6" s="167">
        <v>4.50874541E8</v>
      </c>
      <c r="N6" s="167">
        <v>8.61644104E8</v>
      </c>
      <c r="O6" s="167">
        <v>1.106239226E9</v>
      </c>
      <c r="P6" s="167">
        <v>8.77476643E8</v>
      </c>
      <c r="Q6" s="167">
        <v>8.98669946E8</v>
      </c>
      <c r="R6" s="167">
        <v>8.46233287E8</v>
      </c>
    </row>
    <row r="7" ht="13.5" customHeight="1">
      <c r="A7" s="160" t="s">
        <v>433</v>
      </c>
      <c r="B7" s="160"/>
      <c r="C7" s="169">
        <v>0.5305</v>
      </c>
      <c r="D7" s="169">
        <v>0.5796</v>
      </c>
      <c r="E7" s="169">
        <v>0.5853</v>
      </c>
      <c r="F7" s="169">
        <v>0.6042</v>
      </c>
      <c r="G7" s="169">
        <v>0.5765</v>
      </c>
      <c r="H7" s="169">
        <v>0.583</v>
      </c>
      <c r="I7" s="169">
        <v>0.5768</v>
      </c>
      <c r="J7" s="169">
        <v>0.5685</v>
      </c>
      <c r="K7" s="169">
        <v>0.6888</v>
      </c>
      <c r="L7" s="169">
        <v>0.5652</v>
      </c>
      <c r="M7" s="169">
        <v>0.5011</v>
      </c>
      <c r="N7" s="169">
        <v>0.6169</v>
      </c>
      <c r="O7" s="169">
        <v>0.7181</v>
      </c>
      <c r="P7" s="169">
        <v>0.6046</v>
      </c>
      <c r="Q7" s="169">
        <v>0.6242</v>
      </c>
      <c r="R7" s="169">
        <v>0.6209</v>
      </c>
    </row>
    <row r="8" ht="13.5" customHeight="1">
      <c r="A8" s="160" t="s">
        <v>434</v>
      </c>
      <c r="B8" s="160"/>
      <c r="C8" s="161">
        <v>0.53</v>
      </c>
      <c r="D8" s="161">
        <v>0.51</v>
      </c>
      <c r="E8" s="161">
        <v>0.51</v>
      </c>
      <c r="F8" s="161">
        <v>0.52</v>
      </c>
      <c r="G8" s="161">
        <v>0.52</v>
      </c>
      <c r="H8" s="161">
        <v>0.46</v>
      </c>
      <c r="I8" s="161">
        <v>0.45</v>
      </c>
      <c r="J8" s="161">
        <v>0.4</v>
      </c>
      <c r="K8" s="161">
        <v>0.59</v>
      </c>
      <c r="L8" s="161">
        <v>0.43</v>
      </c>
      <c r="M8" s="161">
        <v>0.31</v>
      </c>
      <c r="N8" s="161">
        <v>0.6</v>
      </c>
      <c r="O8" s="161">
        <v>0.77</v>
      </c>
      <c r="P8" s="161">
        <v>0.62</v>
      </c>
      <c r="Q8" s="161">
        <v>0.64</v>
      </c>
      <c r="R8" s="161">
        <v>0.6</v>
      </c>
    </row>
    <row r="9" ht="13.5" customHeight="1">
      <c r="A9" s="160" t="s">
        <v>435</v>
      </c>
      <c r="B9" s="160"/>
      <c r="C9" s="161">
        <v>9.5388657012E8</v>
      </c>
      <c r="D9" s="161">
        <v>9.249053586E8</v>
      </c>
      <c r="E9" s="167">
        <v>9.20760306E8</v>
      </c>
      <c r="F9" s="161">
        <v>8.8070566378E8</v>
      </c>
      <c r="G9" s="161">
        <v>8.7670891394E8</v>
      </c>
      <c r="H9" s="161">
        <v>7.824219234E8</v>
      </c>
      <c r="I9" s="161">
        <v>7.490237125E8</v>
      </c>
      <c r="J9" s="161">
        <v>5.851008632E8</v>
      </c>
      <c r="K9" s="161">
        <v>8.737969194E8</v>
      </c>
      <c r="L9" s="161">
        <v>5.795669992E8</v>
      </c>
      <c r="M9" s="167">
        <v>0.0</v>
      </c>
      <c r="N9" s="167">
        <v>0.0</v>
      </c>
      <c r="O9" s="161">
        <v>8.9954206461E8</v>
      </c>
      <c r="P9" s="161">
        <v>8.7962952848E8</v>
      </c>
      <c r="Q9" s="161">
        <v>8.5977190235E8</v>
      </c>
      <c r="R9" s="161">
        <v>8.5712034337E8</v>
      </c>
    </row>
    <row r="10" ht="13.5" customHeight="1">
      <c r="A10" s="160" t="s">
        <v>154</v>
      </c>
      <c r="B10" s="194">
        <f t="array" ref="B10">IF(SUMIFS(INDIRECT("'"&amp;A$1&amp;"_DIV'!"&amp;"C:C"),INDIRECT("'"&amp;A$1&amp;"_DIV'!"&amp;"E:E"),B1)=0,"",SUMIFS(INDIRECT("'"&amp;A$1&amp;"_DIV'!"&amp;"C:C"),INDIRECT("'"&amp;A$1&amp;"_DIV'!"&amp;"E:E"),B1))</f>
        <v>0.6</v>
      </c>
      <c r="C10" s="194">
        <f t="array" ref="C10">SUMIFS(INDIRECT("'"&amp;A$1&amp;"_DIV'!"&amp;"C:C"),INDIRECT("'"&amp;A$1&amp;"_DIV'!"&amp;"E:E"),C1)</f>
        <v>0.62</v>
      </c>
      <c r="D10" s="194">
        <f t="array" ref="D10">SUMIFS(INDIRECT("'"&amp;A$1&amp;"_DIV'!"&amp;"C:C"),INDIRECT("'"&amp;A$1&amp;"_DIV'!"&amp;"E:E"),D1)</f>
        <v>0.6</v>
      </c>
      <c r="E10" s="194">
        <f t="array" ref="E10">SUMIFS(INDIRECT("'"&amp;A$1&amp;"_DIV'!"&amp;"C:C"),INDIRECT("'"&amp;A$1&amp;"_DIV'!"&amp;"E:E"),E1)</f>
        <v>0.6</v>
      </c>
      <c r="F10" s="194">
        <f t="array" ref="F10">SUMIFS(INDIRECT("'"&amp;A$1&amp;"_DIV'!"&amp;"C:C"),INDIRECT("'"&amp;A$1&amp;"_DIV'!"&amp;"E:E"),F1)</f>
        <v>0.58</v>
      </c>
      <c r="G10" s="161">
        <v>0.58</v>
      </c>
      <c r="H10" s="161">
        <v>0.52</v>
      </c>
      <c r="I10" s="161">
        <v>0.5</v>
      </c>
      <c r="J10" s="161">
        <v>0.4</v>
      </c>
      <c r="K10" s="161">
        <v>0.6</v>
      </c>
      <c r="L10" s="161">
        <v>0.4</v>
      </c>
      <c r="M10" s="167">
        <v>0.0</v>
      </c>
      <c r="N10" s="167">
        <v>0.0</v>
      </c>
      <c r="O10" s="161">
        <v>0.63</v>
      </c>
      <c r="P10" s="161">
        <v>0.62</v>
      </c>
      <c r="Q10" s="161">
        <v>0.61</v>
      </c>
      <c r="R10" s="161">
        <v>0.61</v>
      </c>
    </row>
    <row r="11" ht="13.5" customHeight="1">
      <c r="A11" s="160" t="s">
        <v>436</v>
      </c>
      <c r="B11" s="160"/>
      <c r="C11" s="171">
        <v>1.538526726E9</v>
      </c>
      <c r="D11" s="171">
        <v>1.541508931E9</v>
      </c>
      <c r="E11" s="171">
        <v>1.53460051E9</v>
      </c>
      <c r="F11" s="171">
        <v>1.518458041E9</v>
      </c>
      <c r="G11" s="171">
        <v>1.511567093E9</v>
      </c>
      <c r="H11" s="171">
        <v>1.504657545E9</v>
      </c>
      <c r="I11" s="171">
        <v>1.498047425E9</v>
      </c>
      <c r="J11" s="171">
        <v>1.462752158E9</v>
      </c>
      <c r="K11" s="171">
        <v>1.456328199E9</v>
      </c>
      <c r="L11" s="171">
        <v>1.448917498E9</v>
      </c>
      <c r="M11" s="171">
        <v>1.434409737E9</v>
      </c>
      <c r="N11" s="171">
        <v>1.431127142E9</v>
      </c>
      <c r="O11" s="171">
        <v>1.427844547E9</v>
      </c>
      <c r="P11" s="171">
        <v>1.418757304E9</v>
      </c>
      <c r="Q11" s="171">
        <v>1.409462135E9</v>
      </c>
      <c r="R11" s="171">
        <v>1.405115317E9</v>
      </c>
    </row>
    <row r="12" ht="13.5" customHeight="1">
      <c r="A12" s="172" t="s">
        <v>382</v>
      </c>
      <c r="B12" s="173">
        <v>0.069</v>
      </c>
      <c r="C12" s="173">
        <v>0.0704</v>
      </c>
      <c r="D12" s="173">
        <v>0.0659</v>
      </c>
      <c r="E12" s="173"/>
      <c r="F12" s="173"/>
      <c r="G12" s="173"/>
      <c r="H12" s="173"/>
      <c r="I12" s="173"/>
      <c r="J12" s="173"/>
      <c r="K12" s="173"/>
    </row>
    <row r="13" ht="13.5" customHeight="1">
      <c r="A13" s="179" t="s">
        <v>383</v>
      </c>
      <c r="B13" s="196">
        <v>3.772289125098E10</v>
      </c>
      <c r="C13" s="203">
        <v>3.552496463745E10</v>
      </c>
      <c r="D13" s="203">
        <v>3.6996214344E10</v>
      </c>
      <c r="E13" s="203"/>
      <c r="F13" s="203"/>
      <c r="G13" s="203"/>
      <c r="H13" s="203"/>
      <c r="I13" s="175"/>
      <c r="J13" s="175"/>
      <c r="K13" s="175"/>
    </row>
    <row r="14" ht="13.5" customHeight="1">
      <c r="A14" s="179" t="s">
        <v>438</v>
      </c>
      <c r="B14" s="173">
        <v>-0.3866</v>
      </c>
      <c r="C14" s="177">
        <v>-0.3996</v>
      </c>
      <c r="D14" s="177">
        <v>-0.3951</v>
      </c>
      <c r="E14" s="177"/>
      <c r="F14" s="177"/>
      <c r="G14" s="177"/>
      <c r="H14" s="177"/>
      <c r="I14" s="177"/>
      <c r="J14" s="177"/>
      <c r="K14" s="177"/>
    </row>
    <row r="15" ht="13.5" customHeight="1">
      <c r="A15" s="179" t="s">
        <v>439</v>
      </c>
      <c r="B15" s="173">
        <v>0.0926</v>
      </c>
      <c r="C15" s="177">
        <v>0.0869</v>
      </c>
      <c r="D15" s="177">
        <v>0.086</v>
      </c>
      <c r="F15" s="177"/>
      <c r="G15" s="177"/>
      <c r="H15" s="177"/>
      <c r="I15" s="177"/>
      <c r="J15" s="177"/>
      <c r="K15" s="177"/>
    </row>
    <row r="16" ht="13.5" customHeight="1">
      <c r="A16" s="179" t="s">
        <v>440</v>
      </c>
      <c r="B16" s="173">
        <v>0.09</v>
      </c>
      <c r="C16" s="173">
        <v>0.0871</v>
      </c>
      <c r="D16" s="177">
        <v>0.1</v>
      </c>
      <c r="E16" s="177"/>
      <c r="F16" s="177"/>
      <c r="G16" s="177"/>
      <c r="H16" s="177"/>
      <c r="I16" s="177"/>
      <c r="J16" s="177"/>
      <c r="K16" s="177"/>
    </row>
    <row r="17" ht="13.5" customHeight="1">
      <c r="A17" s="179" t="s">
        <v>389</v>
      </c>
      <c r="B17" s="198">
        <v>39.79</v>
      </c>
      <c r="C17" s="199">
        <v>39.89</v>
      </c>
      <c r="D17" s="199">
        <v>39.68</v>
      </c>
      <c r="E17" s="199"/>
      <c r="F17" s="199"/>
      <c r="G17" s="199"/>
      <c r="H17" s="199"/>
      <c r="I17" s="199"/>
      <c r="J17" s="199"/>
      <c r="K17" s="199"/>
    </row>
    <row r="18" ht="13.5" customHeight="1">
      <c r="A18" s="179" t="s">
        <v>390</v>
      </c>
      <c r="B18" s="200">
        <v>0.0665</v>
      </c>
      <c r="C18" s="201">
        <v>0.0704</v>
      </c>
      <c r="D18" s="201">
        <v>0.0667</v>
      </c>
      <c r="E18" s="201"/>
      <c r="F18" s="201"/>
      <c r="G18" s="201"/>
      <c r="H18" s="201"/>
      <c r="I18" s="201"/>
      <c r="J18" s="201"/>
      <c r="K18" s="201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19.57"/>
  </cols>
  <sheetData>
    <row r="1">
      <c r="A1" s="166" t="s">
        <v>129</v>
      </c>
      <c r="B1" s="166" t="s">
        <v>155</v>
      </c>
    </row>
    <row r="2">
      <c r="A2" s="166" t="s">
        <v>469</v>
      </c>
      <c r="B2" s="166" t="s">
        <v>470</v>
      </c>
      <c r="C2" s="187">
        <f t="shared" ref="C2:C39" si="1">VALUE(SUBSTITUTE(SUBSTITUTE(B2,"MXN $",""),"",""))</f>
        <v>0.240527</v>
      </c>
      <c r="D2" s="188" t="str">
        <f t="shared" ref="D2:D39" si="2">SUBSTITUTE(SUBSTITUTE(A2,"de",""),"","")</f>
        <v>10  mayo  2023</v>
      </c>
      <c r="E2" s="189" t="str">
        <f t="shared" ref="E2:E39" si="3">IF(IF(ROUNDUP(MONTH(D2)/3,0)-1=0,4,ROUNDUP(MONTH(D2)/3,0)-1)=4,YEAR(D2)-1,YEAR(D2)) &amp; " Q" &amp; IF(ROUNDUP(MONTH(D2)/3,0)-1=0,4,ROUNDUP(MONTH(D2)/3,0)-1)</f>
        <v>2023 Q1</v>
      </c>
      <c r="F2" s="103" t="s">
        <v>133</v>
      </c>
    </row>
    <row r="3">
      <c r="A3" s="166" t="s">
        <v>469</v>
      </c>
      <c r="B3" s="166" t="s">
        <v>471</v>
      </c>
      <c r="C3" s="187">
        <f t="shared" si="1"/>
        <v>0.359473</v>
      </c>
      <c r="D3" s="188" t="str">
        <f t="shared" si="2"/>
        <v>10  mayo  2023</v>
      </c>
      <c r="E3" s="189" t="str">
        <f t="shared" si="3"/>
        <v>2023 Q1</v>
      </c>
      <c r="F3" s="103" t="s">
        <v>132</v>
      </c>
    </row>
    <row r="4">
      <c r="A4" s="166" t="s">
        <v>162</v>
      </c>
      <c r="B4" s="166" t="s">
        <v>472</v>
      </c>
      <c r="C4" s="187">
        <f t="shared" si="1"/>
        <v>0.245729</v>
      </c>
      <c r="D4" s="188" t="str">
        <f t="shared" si="2"/>
        <v>8  marzo  2023</v>
      </c>
      <c r="E4" s="189" t="str">
        <f t="shared" si="3"/>
        <v>2022 Q4</v>
      </c>
    </row>
    <row r="5">
      <c r="A5" s="166" t="s">
        <v>162</v>
      </c>
      <c r="B5" s="166" t="s">
        <v>473</v>
      </c>
      <c r="C5" s="187">
        <f t="shared" si="1"/>
        <v>0.374271</v>
      </c>
      <c r="D5" s="188" t="str">
        <f t="shared" si="2"/>
        <v>8  marzo  2023</v>
      </c>
      <c r="E5" s="189" t="str">
        <f t="shared" si="3"/>
        <v>2022 Q4</v>
      </c>
    </row>
    <row r="6">
      <c r="A6" s="166" t="s">
        <v>176</v>
      </c>
      <c r="B6" s="166" t="s">
        <v>474</v>
      </c>
      <c r="C6" s="187">
        <f t="shared" si="1"/>
        <v>0.26225</v>
      </c>
      <c r="D6" s="188" t="str">
        <f t="shared" si="2"/>
        <v>9  noviembre  2022</v>
      </c>
      <c r="E6" s="189" t="str">
        <f t="shared" si="3"/>
        <v>2022 Q3</v>
      </c>
    </row>
    <row r="7">
      <c r="A7" s="166" t="s">
        <v>176</v>
      </c>
      <c r="B7" s="166" t="s">
        <v>475</v>
      </c>
      <c r="C7" s="187">
        <f t="shared" si="1"/>
        <v>0.33775</v>
      </c>
      <c r="D7" s="188" t="str">
        <f t="shared" si="2"/>
        <v>9  noviembre  2022</v>
      </c>
      <c r="E7" s="189" t="str">
        <f t="shared" si="3"/>
        <v>2022 Q3</v>
      </c>
    </row>
    <row r="8">
      <c r="A8" s="166" t="s">
        <v>182</v>
      </c>
      <c r="B8" s="166" t="s">
        <v>476</v>
      </c>
      <c r="C8" s="187">
        <f t="shared" si="1"/>
        <v>0.32361</v>
      </c>
      <c r="D8" s="188" t="str">
        <f t="shared" si="2"/>
        <v>11  agosto  2022</v>
      </c>
      <c r="E8" s="189" t="str">
        <f t="shared" si="3"/>
        <v>2022 Q2</v>
      </c>
    </row>
    <row r="9">
      <c r="A9" s="166" t="s">
        <v>182</v>
      </c>
      <c r="B9" s="166" t="s">
        <v>477</v>
      </c>
      <c r="C9" s="187">
        <f t="shared" si="1"/>
        <v>0.27639</v>
      </c>
      <c r="D9" s="188" t="str">
        <f t="shared" si="2"/>
        <v>11  agosto  2022</v>
      </c>
      <c r="E9" s="189" t="str">
        <f t="shared" si="3"/>
        <v>2022 Q2</v>
      </c>
    </row>
    <row r="10">
      <c r="A10" s="166" t="s">
        <v>194</v>
      </c>
      <c r="B10" s="166" t="s">
        <v>478</v>
      </c>
      <c r="C10" s="187">
        <f t="shared" si="1"/>
        <v>0.250482</v>
      </c>
      <c r="D10" s="188" t="str">
        <f t="shared" si="2"/>
        <v>10  mayo  2022</v>
      </c>
      <c r="E10" s="189" t="str">
        <f t="shared" si="3"/>
        <v>2022 Q1</v>
      </c>
    </row>
    <row r="11">
      <c r="A11" s="166" t="s">
        <v>194</v>
      </c>
      <c r="B11" s="166" t="s">
        <v>479</v>
      </c>
      <c r="C11" s="187">
        <f t="shared" si="1"/>
        <v>0.329518</v>
      </c>
      <c r="D11" s="188" t="str">
        <f t="shared" si="2"/>
        <v>10  mayo  2022</v>
      </c>
      <c r="E11" s="189" t="str">
        <f t="shared" si="3"/>
        <v>2022 Q1</v>
      </c>
    </row>
    <row r="12">
      <c r="A12" s="166" t="s">
        <v>200</v>
      </c>
      <c r="B12" s="166" t="s">
        <v>480</v>
      </c>
      <c r="C12" s="187">
        <f t="shared" si="1"/>
        <v>0.271285</v>
      </c>
      <c r="D12" s="188" t="str">
        <f t="shared" si="2"/>
        <v>9  marzo  2022</v>
      </c>
      <c r="E12" s="189" t="str">
        <f t="shared" si="3"/>
        <v>2021 Q4</v>
      </c>
    </row>
    <row r="13">
      <c r="A13" s="166" t="s">
        <v>200</v>
      </c>
      <c r="B13" s="166" t="s">
        <v>481</v>
      </c>
      <c r="C13" s="187">
        <f t="shared" si="1"/>
        <v>0.308715</v>
      </c>
      <c r="D13" s="188" t="str">
        <f t="shared" si="2"/>
        <v>9  marzo  2022</v>
      </c>
      <c r="E13" s="189" t="str">
        <f t="shared" si="3"/>
        <v>2021 Q4</v>
      </c>
    </row>
    <row r="14">
      <c r="A14" s="166" t="s">
        <v>482</v>
      </c>
      <c r="B14" s="166" t="s">
        <v>483</v>
      </c>
      <c r="C14" s="187">
        <f t="shared" si="1"/>
        <v>0.251119</v>
      </c>
      <c r="D14" s="188" t="str">
        <f t="shared" si="2"/>
        <v>10  noviembre  2021</v>
      </c>
      <c r="E14" s="189" t="str">
        <f t="shared" si="3"/>
        <v>2021 Q3</v>
      </c>
    </row>
    <row r="15">
      <c r="A15" s="166" t="s">
        <v>482</v>
      </c>
      <c r="B15" s="166" t="s">
        <v>484</v>
      </c>
      <c r="C15" s="187">
        <f t="shared" si="1"/>
        <v>0.268881</v>
      </c>
      <c r="D15" s="188" t="str">
        <f t="shared" si="2"/>
        <v>10  noviembre  2021</v>
      </c>
      <c r="E15" s="189" t="str">
        <f t="shared" si="3"/>
        <v>2021 Q3</v>
      </c>
    </row>
    <row r="16">
      <c r="A16" s="166" t="s">
        <v>213</v>
      </c>
      <c r="B16" s="166" t="s">
        <v>485</v>
      </c>
      <c r="C16" s="187">
        <f t="shared" si="1"/>
        <v>0.229425</v>
      </c>
      <c r="D16" s="188" t="str">
        <f t="shared" si="2"/>
        <v>9  agosto  2021</v>
      </c>
      <c r="E16" s="189" t="str">
        <f t="shared" si="3"/>
        <v>2021 Q2</v>
      </c>
    </row>
    <row r="17">
      <c r="A17" s="166" t="s">
        <v>213</v>
      </c>
      <c r="B17" s="166" t="s">
        <v>486</v>
      </c>
      <c r="C17" s="187">
        <f t="shared" si="1"/>
        <v>0.270575</v>
      </c>
      <c r="D17" s="188" t="str">
        <f t="shared" si="2"/>
        <v>9  agosto  2021</v>
      </c>
      <c r="E17" s="189" t="str">
        <f t="shared" si="3"/>
        <v>2021 Q2</v>
      </c>
    </row>
    <row r="18">
      <c r="A18" s="166" t="s">
        <v>223</v>
      </c>
      <c r="B18" s="166" t="s">
        <v>487</v>
      </c>
      <c r="C18" s="187">
        <f t="shared" si="1"/>
        <v>0.215166</v>
      </c>
      <c r="D18" s="188" t="str">
        <f t="shared" si="2"/>
        <v>10  mayo  2021</v>
      </c>
      <c r="E18" s="189" t="str">
        <f t="shared" si="3"/>
        <v>2021 Q1</v>
      </c>
    </row>
    <row r="19">
      <c r="A19" s="166" t="s">
        <v>223</v>
      </c>
      <c r="B19" s="166" t="s">
        <v>488</v>
      </c>
      <c r="C19" s="187">
        <f t="shared" si="1"/>
        <v>0.184834</v>
      </c>
      <c r="D19" s="188" t="str">
        <f t="shared" si="2"/>
        <v>10  mayo  2021</v>
      </c>
      <c r="E19" s="189" t="str">
        <f t="shared" si="3"/>
        <v>2021 Q1</v>
      </c>
    </row>
    <row r="20">
      <c r="A20" s="166" t="s">
        <v>489</v>
      </c>
      <c r="B20" s="166" t="s">
        <v>490</v>
      </c>
      <c r="C20" s="187">
        <f t="shared" si="1"/>
        <v>0.195339</v>
      </c>
      <c r="D20" s="188" t="str">
        <f t="shared" si="2"/>
        <v>10  marzo  2021</v>
      </c>
      <c r="E20" s="189" t="str">
        <f t="shared" si="3"/>
        <v>2020 Q4</v>
      </c>
    </row>
    <row r="21">
      <c r="A21" s="166" t="s">
        <v>489</v>
      </c>
      <c r="B21" s="166" t="s">
        <v>491</v>
      </c>
      <c r="C21" s="187">
        <f t="shared" si="1"/>
        <v>0.404661</v>
      </c>
      <c r="D21" s="188" t="str">
        <f t="shared" si="2"/>
        <v>10  marzo  2021</v>
      </c>
      <c r="E21" s="189" t="str">
        <f t="shared" si="3"/>
        <v>2020 Q4</v>
      </c>
    </row>
    <row r="22">
      <c r="A22" s="166" t="s">
        <v>237</v>
      </c>
      <c r="B22" s="166" t="s">
        <v>492</v>
      </c>
      <c r="C22" s="187">
        <f t="shared" si="1"/>
        <v>0.4</v>
      </c>
      <c r="D22" s="188" t="str">
        <f t="shared" si="2"/>
        <v>18  noviembre  2020</v>
      </c>
      <c r="E22" s="189" t="str">
        <f t="shared" si="3"/>
        <v>2020 Q3</v>
      </c>
    </row>
    <row r="23">
      <c r="A23" s="166" t="s">
        <v>265</v>
      </c>
      <c r="B23" s="166" t="s">
        <v>493</v>
      </c>
      <c r="C23" s="187">
        <f t="shared" si="1"/>
        <v>0.203668</v>
      </c>
      <c r="D23" s="188" t="str">
        <f t="shared" si="2"/>
        <v>9  marzo  2020</v>
      </c>
      <c r="E23" s="189" t="str">
        <f t="shared" si="3"/>
        <v>2019 Q4</v>
      </c>
    </row>
    <row r="24">
      <c r="A24" s="166" t="s">
        <v>265</v>
      </c>
      <c r="B24" s="166" t="s">
        <v>494</v>
      </c>
      <c r="C24" s="187">
        <f t="shared" si="1"/>
        <v>0.426332</v>
      </c>
      <c r="D24" s="188" t="str">
        <f t="shared" si="2"/>
        <v>9  marzo  2020</v>
      </c>
      <c r="E24" s="189" t="str">
        <f t="shared" si="3"/>
        <v>2019 Q4</v>
      </c>
    </row>
    <row r="25">
      <c r="A25" s="166" t="s">
        <v>418</v>
      </c>
      <c r="B25" s="166" t="s">
        <v>495</v>
      </c>
      <c r="C25" s="187">
        <f t="shared" si="1"/>
        <v>0.378847</v>
      </c>
      <c r="D25" s="188" t="str">
        <f t="shared" si="2"/>
        <v>8  noviembre  2019</v>
      </c>
      <c r="E25" s="189" t="str">
        <f t="shared" si="3"/>
        <v>2019 Q3</v>
      </c>
    </row>
    <row r="26">
      <c r="A26" s="166" t="s">
        <v>418</v>
      </c>
      <c r="B26" s="166" t="s">
        <v>496</v>
      </c>
      <c r="C26" s="187">
        <f t="shared" si="1"/>
        <v>0.241153</v>
      </c>
      <c r="D26" s="188" t="str">
        <f t="shared" si="2"/>
        <v>8  noviembre  2019</v>
      </c>
      <c r="E26" s="189" t="str">
        <f t="shared" si="3"/>
        <v>2019 Q3</v>
      </c>
    </row>
    <row r="27">
      <c r="A27" s="166" t="s">
        <v>283</v>
      </c>
      <c r="B27" s="166" t="s">
        <v>497</v>
      </c>
      <c r="C27" s="187">
        <f t="shared" si="1"/>
        <v>0.313886</v>
      </c>
      <c r="D27" s="188" t="str">
        <f t="shared" si="2"/>
        <v>9  agosto  2019</v>
      </c>
      <c r="E27" s="189" t="str">
        <f t="shared" si="3"/>
        <v>2019 Q2</v>
      </c>
    </row>
    <row r="28">
      <c r="A28" s="166" t="s">
        <v>283</v>
      </c>
      <c r="B28" s="166" t="s">
        <v>498</v>
      </c>
      <c r="C28" s="187">
        <f t="shared" si="1"/>
        <v>0.296114</v>
      </c>
      <c r="D28" s="188" t="str">
        <f t="shared" si="2"/>
        <v>9  agosto  2019</v>
      </c>
      <c r="E28" s="189" t="str">
        <f t="shared" si="3"/>
        <v>2019 Q2</v>
      </c>
    </row>
    <row r="29">
      <c r="A29" s="166" t="s">
        <v>300</v>
      </c>
      <c r="B29" s="166" t="s">
        <v>499</v>
      </c>
      <c r="C29" s="187">
        <f t="shared" si="1"/>
        <v>0.272791</v>
      </c>
      <c r="D29" s="188" t="str">
        <f t="shared" si="2"/>
        <v>10  mayo  2019</v>
      </c>
      <c r="E29" s="189" t="str">
        <f t="shared" si="3"/>
        <v>2019 Q1</v>
      </c>
    </row>
    <row r="30">
      <c r="A30" s="166" t="s">
        <v>300</v>
      </c>
      <c r="B30" s="166" t="s">
        <v>500</v>
      </c>
      <c r="C30" s="187">
        <f t="shared" si="1"/>
        <v>0.337209</v>
      </c>
      <c r="D30" s="188" t="str">
        <f t="shared" si="2"/>
        <v>10  mayo  2019</v>
      </c>
      <c r="E30" s="189" t="str">
        <f t="shared" si="3"/>
        <v>2019 Q1</v>
      </c>
    </row>
    <row r="31">
      <c r="A31" s="166" t="s">
        <v>311</v>
      </c>
      <c r="B31" s="166" t="s">
        <v>501</v>
      </c>
      <c r="C31" s="187">
        <f t="shared" si="1"/>
        <v>0.114007</v>
      </c>
      <c r="D31" s="188" t="str">
        <f t="shared" si="2"/>
        <v>11  marzo  2019</v>
      </c>
      <c r="E31" s="189" t="str">
        <f t="shared" si="3"/>
        <v>2018 Q4</v>
      </c>
    </row>
    <row r="32">
      <c r="A32" s="166" t="s">
        <v>311</v>
      </c>
      <c r="B32" s="166" t="s">
        <v>502</v>
      </c>
      <c r="C32" s="187">
        <f t="shared" si="1"/>
        <v>0.495993</v>
      </c>
      <c r="D32" s="188" t="str">
        <f t="shared" si="2"/>
        <v>11  marzo  2019</v>
      </c>
      <c r="E32" s="189" t="str">
        <f t="shared" si="3"/>
        <v>2018 Q4</v>
      </c>
    </row>
    <row r="33">
      <c r="A33" s="166" t="s">
        <v>323</v>
      </c>
      <c r="B33" s="166" t="s">
        <v>503</v>
      </c>
      <c r="C33" s="187">
        <f t="shared" si="1"/>
        <v>0.359104</v>
      </c>
      <c r="D33" s="188" t="str">
        <f t="shared" si="2"/>
        <v>8  noviembre  2018</v>
      </c>
      <c r="E33" s="189" t="str">
        <f t="shared" si="3"/>
        <v>2018 Q3</v>
      </c>
    </row>
    <row r="34">
      <c r="A34" s="166" t="s">
        <v>323</v>
      </c>
      <c r="B34" s="166" t="s">
        <v>504</v>
      </c>
      <c r="C34" s="187">
        <f t="shared" si="1"/>
        <v>0.250896</v>
      </c>
      <c r="D34" s="188" t="str">
        <f t="shared" si="2"/>
        <v>8  noviembre  2018</v>
      </c>
      <c r="E34" s="189" t="str">
        <f t="shared" si="3"/>
        <v>2018 Q3</v>
      </c>
    </row>
    <row r="35">
      <c r="A35" s="166" t="s">
        <v>333</v>
      </c>
      <c r="B35" s="166" t="s">
        <v>505</v>
      </c>
      <c r="C35" s="187">
        <f t="shared" si="1"/>
        <v>0.302996</v>
      </c>
      <c r="D35" s="188" t="str">
        <f t="shared" si="2"/>
        <v>9  agosto  2018</v>
      </c>
      <c r="E35" s="189" t="str">
        <f t="shared" si="3"/>
        <v>2018 Q2</v>
      </c>
    </row>
    <row r="36">
      <c r="A36" s="166" t="s">
        <v>333</v>
      </c>
      <c r="B36" s="166" t="s">
        <v>506</v>
      </c>
      <c r="C36" s="187">
        <f t="shared" si="1"/>
        <v>0.297004</v>
      </c>
      <c r="D36" s="188" t="str">
        <f t="shared" si="2"/>
        <v>9  agosto  2018</v>
      </c>
      <c r="E36" s="189" t="str">
        <f t="shared" si="3"/>
        <v>2018 Q2</v>
      </c>
    </row>
    <row r="37">
      <c r="A37" s="166" t="s">
        <v>341</v>
      </c>
      <c r="B37" s="166" t="s">
        <v>507</v>
      </c>
      <c r="C37" s="187">
        <f t="shared" si="1"/>
        <v>0.58</v>
      </c>
      <c r="D37" s="188" t="str">
        <f t="shared" si="2"/>
        <v>10  mayo  2018</v>
      </c>
      <c r="E37" s="189" t="str">
        <f t="shared" si="3"/>
        <v>2018 Q1</v>
      </c>
    </row>
    <row r="38">
      <c r="A38" s="166" t="s">
        <v>355</v>
      </c>
      <c r="B38" s="166" t="s">
        <v>508</v>
      </c>
      <c r="C38" s="187">
        <f t="shared" si="1"/>
        <v>0.182237</v>
      </c>
      <c r="D38" s="188" t="str">
        <f t="shared" si="2"/>
        <v>13  marzo  2018</v>
      </c>
      <c r="E38" s="189" t="str">
        <f t="shared" si="3"/>
        <v>2017 Q4</v>
      </c>
    </row>
    <row r="39">
      <c r="A39" s="166" t="s">
        <v>355</v>
      </c>
      <c r="B39" s="166" t="s">
        <v>509</v>
      </c>
      <c r="C39" s="187">
        <f t="shared" si="1"/>
        <v>0.397763</v>
      </c>
      <c r="D39" s="188" t="str">
        <f t="shared" si="2"/>
        <v>13  marzo  2018</v>
      </c>
      <c r="E39" s="189" t="str">
        <f t="shared" si="3"/>
        <v>2017 Q4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>
      <c r="A1" s="159" t="s">
        <v>510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  <c r="G1" s="159" t="s">
        <v>361</v>
      </c>
      <c r="H1" s="159" t="s">
        <v>362</v>
      </c>
      <c r="I1" s="159" t="s">
        <v>363</v>
      </c>
      <c r="J1" s="159" t="s">
        <v>364</v>
      </c>
      <c r="K1" s="159" t="s">
        <v>365</v>
      </c>
      <c r="L1" s="159" t="s">
        <v>366</v>
      </c>
      <c r="M1" s="159" t="s">
        <v>367</v>
      </c>
      <c r="N1" s="159" t="s">
        <v>368</v>
      </c>
      <c r="O1" s="159" t="s">
        <v>369</v>
      </c>
      <c r="P1" s="159" t="s">
        <v>370</v>
      </c>
      <c r="Q1" s="159" t="s">
        <v>371</v>
      </c>
      <c r="R1" s="159" t="s">
        <v>372</v>
      </c>
    </row>
    <row r="2" ht="13.5" customHeight="1">
      <c r="A2" s="160" t="s">
        <v>428</v>
      </c>
      <c r="B2" s="160"/>
      <c r="C2" s="167">
        <v>3.7085E7</v>
      </c>
      <c r="D2" s="167">
        <v>3.1804E7</v>
      </c>
      <c r="E2" s="167">
        <v>2.9409E7</v>
      </c>
      <c r="F2" s="167">
        <v>1.9818E7</v>
      </c>
      <c r="G2" s="167">
        <v>2.3564E7</v>
      </c>
      <c r="H2" s="167">
        <v>1.9731E7</v>
      </c>
      <c r="I2" s="167">
        <v>1.5729E7</v>
      </c>
      <c r="J2" s="167">
        <v>1.5549E7</v>
      </c>
      <c r="K2" s="167">
        <v>1.6224E7</v>
      </c>
      <c r="L2" s="167">
        <v>1.7751516E7</v>
      </c>
      <c r="M2" s="167">
        <v>9548261.0</v>
      </c>
      <c r="N2" s="167">
        <v>5207320.0</v>
      </c>
      <c r="O2" s="167">
        <v>0.0</v>
      </c>
      <c r="P2" s="160" t="s">
        <v>511</v>
      </c>
      <c r="Q2" s="160" t="s">
        <v>511</v>
      </c>
      <c r="R2" s="160" t="s">
        <v>511</v>
      </c>
    </row>
    <row r="3" ht="13.5" customHeight="1">
      <c r="A3" s="160" t="s">
        <v>429</v>
      </c>
      <c r="B3" s="160"/>
      <c r="C3" s="167">
        <v>3.7085E7</v>
      </c>
      <c r="D3" s="167">
        <v>3.1804E7</v>
      </c>
      <c r="E3" s="167">
        <v>2.9409E7</v>
      </c>
      <c r="F3" s="167">
        <v>1.9818E7</v>
      </c>
      <c r="G3" s="167">
        <v>2.3564E7</v>
      </c>
      <c r="H3" s="167">
        <v>1.9731E7</v>
      </c>
      <c r="I3" s="167">
        <v>1.5729E7</v>
      </c>
      <c r="J3" s="167">
        <v>1.5549E7</v>
      </c>
      <c r="K3" s="167">
        <v>1.6224E7</v>
      </c>
      <c r="L3" s="167">
        <v>1.7751516E7</v>
      </c>
      <c r="M3" s="167">
        <v>9548261.0</v>
      </c>
      <c r="N3" s="167">
        <v>5207320.0</v>
      </c>
      <c r="O3" s="167">
        <v>0.0</v>
      </c>
      <c r="P3" s="160" t="s">
        <v>511</v>
      </c>
      <c r="Q3" s="160" t="s">
        <v>511</v>
      </c>
      <c r="R3" s="160" t="s">
        <v>511</v>
      </c>
    </row>
    <row r="4" ht="13.5" customHeight="1">
      <c r="A4" s="160" t="s">
        <v>430</v>
      </c>
      <c r="B4" s="160"/>
      <c r="C4" s="167">
        <v>2.9750931E7</v>
      </c>
      <c r="D4" s="167">
        <v>2.5200235E7</v>
      </c>
      <c r="E4" s="167">
        <v>2.4800295E7</v>
      </c>
      <c r="F4" s="167">
        <v>1.601298E7</v>
      </c>
      <c r="G4" s="167">
        <v>2.0225382E7</v>
      </c>
      <c r="H4" s="167">
        <v>1.6825065E7</v>
      </c>
      <c r="I4" s="167">
        <v>1.3087579E7</v>
      </c>
      <c r="J4" s="167">
        <v>1.4029745E7</v>
      </c>
      <c r="K4" s="167">
        <v>1.3833496E7</v>
      </c>
      <c r="L4" s="160" t="s">
        <v>511</v>
      </c>
      <c r="M4" s="160" t="s">
        <v>511</v>
      </c>
      <c r="N4" s="160" t="s">
        <v>511</v>
      </c>
      <c r="O4" s="167">
        <v>0.0</v>
      </c>
      <c r="P4" s="160" t="s">
        <v>511</v>
      </c>
      <c r="Q4" s="167">
        <v>0.0</v>
      </c>
      <c r="R4" s="167">
        <v>0.0</v>
      </c>
    </row>
    <row r="5" ht="13.5" customHeight="1">
      <c r="A5" s="160" t="s">
        <v>431</v>
      </c>
      <c r="B5" s="160"/>
      <c r="C5" s="169">
        <v>0.8022</v>
      </c>
      <c r="D5" s="169">
        <v>0.7924</v>
      </c>
      <c r="E5" s="169">
        <v>0.8433</v>
      </c>
      <c r="F5" s="169">
        <v>0.808</v>
      </c>
      <c r="G5" s="169">
        <v>0.8583</v>
      </c>
      <c r="H5" s="169">
        <v>0.8527</v>
      </c>
      <c r="I5" s="169">
        <v>0.8321</v>
      </c>
      <c r="J5" s="169">
        <v>0.9023</v>
      </c>
      <c r="K5" s="205">
        <v>1.0</v>
      </c>
      <c r="L5" s="205">
        <v>0.0</v>
      </c>
      <c r="M5" s="205">
        <v>0.0</v>
      </c>
      <c r="N5" s="205">
        <v>0.0</v>
      </c>
      <c r="O5" s="205">
        <v>0.0</v>
      </c>
      <c r="P5" s="205">
        <v>0.0</v>
      </c>
      <c r="Q5" s="205">
        <v>0.0</v>
      </c>
      <c r="R5" s="205">
        <v>0.0</v>
      </c>
    </row>
    <row r="6" ht="13.5" customHeight="1">
      <c r="A6" s="160" t="s">
        <v>432</v>
      </c>
      <c r="B6" s="160"/>
      <c r="C6" s="167">
        <v>6046986.0</v>
      </c>
      <c r="D6" s="167">
        <v>-9.0691247E7</v>
      </c>
      <c r="E6" s="167">
        <v>-9062672.0</v>
      </c>
      <c r="F6" s="167">
        <v>-5512767.0</v>
      </c>
      <c r="G6" s="167">
        <v>6291659.0</v>
      </c>
      <c r="H6" s="167">
        <v>5119428.0</v>
      </c>
      <c r="I6" s="167">
        <v>4304030.0</v>
      </c>
      <c r="J6" s="167">
        <v>7007825.0</v>
      </c>
      <c r="K6" s="160" t="s">
        <v>511</v>
      </c>
      <c r="L6" s="160" t="s">
        <v>511</v>
      </c>
      <c r="M6" s="160" t="s">
        <v>511</v>
      </c>
      <c r="N6" s="160" t="s">
        <v>511</v>
      </c>
      <c r="O6" s="167">
        <v>0.0</v>
      </c>
      <c r="P6" s="160" t="s">
        <v>511</v>
      </c>
      <c r="Q6" s="160" t="s">
        <v>511</v>
      </c>
      <c r="R6" s="160" t="s">
        <v>511</v>
      </c>
    </row>
    <row r="7" ht="13.5" customHeight="1">
      <c r="A7" s="160" t="s">
        <v>433</v>
      </c>
      <c r="B7" s="160"/>
      <c r="C7" s="169">
        <v>0.1631</v>
      </c>
      <c r="D7" s="169">
        <v>-2.8516</v>
      </c>
      <c r="E7" s="169">
        <v>-0.3082</v>
      </c>
      <c r="F7" s="169">
        <v>-0.2782</v>
      </c>
      <c r="G7" s="169">
        <v>0.267</v>
      </c>
      <c r="H7" s="169">
        <v>0.2595</v>
      </c>
      <c r="I7" s="169">
        <v>0.2736</v>
      </c>
      <c r="J7" s="169">
        <v>0.4507</v>
      </c>
      <c r="K7" s="205">
        <v>0.0</v>
      </c>
      <c r="L7" s="205">
        <v>0.0</v>
      </c>
      <c r="M7" s="205">
        <v>0.0</v>
      </c>
      <c r="N7" s="205">
        <v>0.0</v>
      </c>
      <c r="O7" s="205">
        <v>0.0</v>
      </c>
      <c r="P7" s="205">
        <v>0.0</v>
      </c>
      <c r="Q7" s="205">
        <v>0.0</v>
      </c>
      <c r="R7" s="205">
        <v>0.0</v>
      </c>
    </row>
    <row r="8" ht="13.5" customHeight="1">
      <c r="A8" s="160" t="s">
        <v>434</v>
      </c>
      <c r="B8" s="160"/>
      <c r="C8" s="161">
        <v>0.11</v>
      </c>
      <c r="D8" s="161">
        <v>-1.61</v>
      </c>
      <c r="E8" s="161">
        <v>-0.16</v>
      </c>
      <c r="F8" s="161">
        <v>-0.1</v>
      </c>
      <c r="G8" s="161">
        <v>0.11</v>
      </c>
      <c r="H8" s="161">
        <v>0.09</v>
      </c>
      <c r="I8" s="161">
        <v>0.08</v>
      </c>
      <c r="J8" s="161">
        <v>0.12</v>
      </c>
      <c r="K8" s="167">
        <v>0.0</v>
      </c>
      <c r="L8" s="167">
        <v>0.0</v>
      </c>
      <c r="M8" s="167">
        <v>0.0</v>
      </c>
      <c r="N8" s="167">
        <v>0.0</v>
      </c>
      <c r="O8" s="167">
        <v>0.0</v>
      </c>
      <c r="P8" s="167">
        <v>0.0</v>
      </c>
      <c r="Q8" s="167">
        <v>0.0</v>
      </c>
      <c r="R8" s="167">
        <v>0.0</v>
      </c>
    </row>
    <row r="9" ht="13.5" customHeight="1">
      <c r="A9" s="160" t="s">
        <v>435</v>
      </c>
      <c r="B9" s="160"/>
      <c r="C9" s="167">
        <v>0.0</v>
      </c>
      <c r="D9" s="167">
        <v>0.0</v>
      </c>
      <c r="E9" s="167">
        <v>0.0</v>
      </c>
      <c r="F9" s="167">
        <v>0.0</v>
      </c>
      <c r="G9" s="167">
        <v>0.0</v>
      </c>
      <c r="H9" s="167">
        <v>0.0</v>
      </c>
      <c r="I9" s="167">
        <v>0.0</v>
      </c>
      <c r="J9" s="167">
        <v>0.0</v>
      </c>
      <c r="K9" s="167">
        <v>0.0</v>
      </c>
      <c r="L9" s="167">
        <v>0.0</v>
      </c>
      <c r="M9" s="167">
        <v>0.0</v>
      </c>
      <c r="N9" s="167">
        <v>0.0</v>
      </c>
      <c r="O9" s="167">
        <v>0.0</v>
      </c>
      <c r="P9" s="167">
        <v>0.0</v>
      </c>
      <c r="Q9" s="167">
        <v>0.0</v>
      </c>
      <c r="R9" s="167">
        <v>0.0</v>
      </c>
    </row>
    <row r="10" ht="13.5" customHeight="1">
      <c r="A10" s="160" t="s">
        <v>154</v>
      </c>
      <c r="B10" s="160"/>
      <c r="C10" s="167">
        <v>0.0</v>
      </c>
      <c r="D10" s="167">
        <v>0.0</v>
      </c>
      <c r="E10" s="167">
        <v>0.0</v>
      </c>
      <c r="F10" s="167">
        <v>0.0</v>
      </c>
      <c r="G10" s="167">
        <v>0.0</v>
      </c>
      <c r="H10" s="167">
        <v>0.0</v>
      </c>
      <c r="I10" s="167">
        <v>0.0</v>
      </c>
      <c r="J10" s="167">
        <v>0.0</v>
      </c>
      <c r="K10" s="167">
        <v>0.0</v>
      </c>
      <c r="L10" s="167">
        <v>0.0</v>
      </c>
      <c r="M10" s="167">
        <v>0.0</v>
      </c>
      <c r="N10" s="167">
        <v>0.0</v>
      </c>
      <c r="O10" s="167">
        <v>0.0</v>
      </c>
      <c r="P10" s="160" t="s">
        <v>511</v>
      </c>
      <c r="Q10" s="160" t="s">
        <v>511</v>
      </c>
      <c r="R10" s="160" t="s">
        <v>511</v>
      </c>
    </row>
    <row r="11" ht="13.5" customHeight="1">
      <c r="A11" s="160" t="s">
        <v>436</v>
      </c>
      <c r="B11" s="160"/>
      <c r="C11" s="171">
        <v>5.6257E7</v>
      </c>
      <c r="D11" s="171">
        <v>5.6257E7</v>
      </c>
      <c r="E11" s="171">
        <v>5.6257E7</v>
      </c>
      <c r="F11" s="171">
        <v>5.6257E7</v>
      </c>
      <c r="G11" s="171">
        <v>5.6257E7</v>
      </c>
      <c r="H11" s="171">
        <v>5.6257365E7</v>
      </c>
      <c r="I11" s="171">
        <v>5.6257365E7</v>
      </c>
      <c r="J11" s="171">
        <v>5.6257365E7</v>
      </c>
      <c r="K11" s="171">
        <v>5.6257365E7</v>
      </c>
      <c r="L11" s="171">
        <v>5.6257365E7</v>
      </c>
      <c r="M11" s="171">
        <v>2.9108445E7</v>
      </c>
      <c r="N11" s="171">
        <v>2.9108445E7</v>
      </c>
      <c r="O11" s="171">
        <v>3.2399312E7</v>
      </c>
      <c r="P11" s="171">
        <v>3.2399312E7</v>
      </c>
      <c r="Q11" s="171">
        <v>3.2399312E7</v>
      </c>
      <c r="R11" s="171">
        <v>3.2399312E7</v>
      </c>
    </row>
    <row r="12" ht="13.5" customHeight="1">
      <c r="A12" s="172" t="s">
        <v>382</v>
      </c>
      <c r="B12" s="173"/>
      <c r="C12" s="173">
        <v>0.0427</v>
      </c>
      <c r="D12" s="173">
        <v>0.0391</v>
      </c>
      <c r="E12" s="173"/>
      <c r="F12" s="173"/>
      <c r="G12" s="173"/>
      <c r="H12" s="173"/>
      <c r="I12" s="173"/>
      <c r="J12" s="173"/>
      <c r="K12" s="173"/>
    </row>
    <row r="13" ht="13.5" customHeight="1">
      <c r="A13" s="179" t="s">
        <v>383</v>
      </c>
      <c r="B13" s="175"/>
      <c r="C13" s="176">
        <v>1.7608555245E9</v>
      </c>
      <c r="D13" s="176">
        <v>1.800224E9</v>
      </c>
      <c r="E13" s="175"/>
      <c r="F13" s="175"/>
      <c r="G13" s="175"/>
      <c r="H13" s="175"/>
      <c r="I13" s="175"/>
      <c r="J13" s="175"/>
      <c r="K13" s="175"/>
    </row>
    <row r="14" ht="13.5" customHeight="1">
      <c r="A14" s="179" t="s">
        <v>438</v>
      </c>
      <c r="B14" s="177"/>
      <c r="C14" s="173">
        <v>-0.4166</v>
      </c>
      <c r="D14" s="173">
        <v>-0.3918</v>
      </c>
      <c r="E14" s="177"/>
      <c r="F14" s="177"/>
      <c r="G14" s="177"/>
      <c r="H14" s="177"/>
      <c r="I14" s="177"/>
      <c r="J14" s="177"/>
      <c r="K14" s="177"/>
    </row>
    <row r="15" ht="13.5" customHeight="1">
      <c r="A15" s="179" t="s">
        <v>439</v>
      </c>
      <c r="B15" s="177"/>
      <c r="C15" s="173">
        <v>0.2454</v>
      </c>
      <c r="D15" s="173">
        <v>0.2561</v>
      </c>
      <c r="E15" s="177"/>
      <c r="F15" s="177"/>
      <c r="G15" s="177"/>
      <c r="H15" s="177"/>
      <c r="I15" s="177"/>
      <c r="J15" s="177"/>
      <c r="K15" s="177"/>
    </row>
    <row r="16" ht="13.5" customHeight="1">
      <c r="A16" s="179" t="s">
        <v>440</v>
      </c>
      <c r="B16" s="177"/>
      <c r="C16" s="173">
        <v>0.0</v>
      </c>
      <c r="D16" s="173">
        <v>0.0</v>
      </c>
      <c r="E16" s="177"/>
      <c r="F16" s="177"/>
      <c r="G16" s="177"/>
      <c r="H16" s="177"/>
      <c r="I16" s="177"/>
      <c r="J16" s="177"/>
      <c r="K16" s="177"/>
    </row>
    <row r="17" ht="13.5" customHeight="1">
      <c r="A17" s="179" t="s">
        <v>389</v>
      </c>
      <c r="B17" s="199"/>
      <c r="C17" s="198">
        <v>53.82</v>
      </c>
      <c r="D17" s="198">
        <v>52.61</v>
      </c>
      <c r="E17" s="199"/>
      <c r="F17" s="199"/>
      <c r="G17" s="199"/>
      <c r="H17" s="199"/>
      <c r="I17" s="199"/>
      <c r="J17" s="199"/>
      <c r="K17" s="199"/>
    </row>
    <row r="18" ht="13.5" customHeight="1">
      <c r="A18" s="179" t="s">
        <v>390</v>
      </c>
      <c r="B18" s="201"/>
      <c r="C18" s="200">
        <v>-0.0225</v>
      </c>
      <c r="D18" s="200">
        <v>-0.0249</v>
      </c>
      <c r="E18" s="201"/>
      <c r="F18" s="201"/>
      <c r="G18" s="201"/>
      <c r="H18" s="201"/>
      <c r="I18" s="201"/>
      <c r="J18" s="201"/>
      <c r="K18" s="201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>
      <c r="A1" s="158" t="s">
        <v>64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  <c r="G1" s="159" t="s">
        <v>361</v>
      </c>
      <c r="H1" s="159" t="s">
        <v>362</v>
      </c>
      <c r="I1" s="159" t="s">
        <v>363</v>
      </c>
      <c r="J1" s="159" t="s">
        <v>364</v>
      </c>
      <c r="K1" s="159" t="s">
        <v>365</v>
      </c>
      <c r="L1" s="159" t="s">
        <v>366</v>
      </c>
      <c r="M1" s="159" t="s">
        <v>367</v>
      </c>
      <c r="N1" s="159" t="s">
        <v>368</v>
      </c>
      <c r="O1" s="159" t="s">
        <v>369</v>
      </c>
      <c r="P1" s="159" t="s">
        <v>370</v>
      </c>
      <c r="Q1" s="159" t="s">
        <v>371</v>
      </c>
      <c r="R1" s="159" t="s">
        <v>372</v>
      </c>
    </row>
    <row r="2" ht="13.5" customHeight="1">
      <c r="A2" s="160" t="s">
        <v>428</v>
      </c>
      <c r="B2" s="167">
        <v>2.5204E8</v>
      </c>
      <c r="C2" s="167">
        <v>2.56623E8</v>
      </c>
      <c r="D2" s="167">
        <v>2.56105E8</v>
      </c>
      <c r="E2" s="167">
        <v>2.3727E8</v>
      </c>
      <c r="F2" s="167">
        <v>2.2963E8</v>
      </c>
      <c r="G2" s="167">
        <v>2.21138E8</v>
      </c>
      <c r="H2" s="167">
        <v>1.54456E8</v>
      </c>
      <c r="I2" s="167">
        <v>1.48727E8</v>
      </c>
      <c r="J2" s="167">
        <v>1.43034E8</v>
      </c>
      <c r="K2" s="167">
        <v>1.41641E8</v>
      </c>
      <c r="L2" s="167">
        <v>1.42309E8</v>
      </c>
      <c r="M2" s="167">
        <v>1.43619E8</v>
      </c>
      <c r="N2" s="167">
        <v>1.29282E8</v>
      </c>
      <c r="O2" s="167">
        <v>1.17739E8</v>
      </c>
      <c r="P2" s="167">
        <v>1.16931E8</v>
      </c>
      <c r="Q2" s="167">
        <v>1.17499E8</v>
      </c>
      <c r="R2" s="167">
        <v>1.17696E8</v>
      </c>
    </row>
    <row r="3" ht="13.5" customHeight="1">
      <c r="A3" s="160" t="s">
        <v>429</v>
      </c>
      <c r="B3" s="167">
        <v>2.60117E8</v>
      </c>
      <c r="C3" s="167">
        <v>2.6366E8</v>
      </c>
      <c r="D3" s="167">
        <v>2.63037E8</v>
      </c>
      <c r="E3" s="167">
        <v>2.43514E8</v>
      </c>
      <c r="F3" s="167">
        <v>2.35178E8</v>
      </c>
      <c r="G3" s="167">
        <v>2.31587E8</v>
      </c>
      <c r="H3" s="167">
        <v>1.61753E8</v>
      </c>
      <c r="I3" s="167">
        <v>1.53099E8</v>
      </c>
      <c r="J3" s="167">
        <v>1.44088E8</v>
      </c>
      <c r="K3" s="167">
        <v>1.42672E8</v>
      </c>
      <c r="L3" s="167">
        <v>1.43831E8</v>
      </c>
      <c r="M3" s="167">
        <v>1.44439E8</v>
      </c>
      <c r="N3" s="167">
        <v>1.30233E8</v>
      </c>
      <c r="O3" s="167">
        <v>1.18836E8</v>
      </c>
      <c r="P3" s="167">
        <v>1.17436E8</v>
      </c>
      <c r="Q3" s="167">
        <v>1.17847E8</v>
      </c>
      <c r="R3" s="167">
        <v>1.18206E8</v>
      </c>
    </row>
    <row r="4" ht="13.5" customHeight="1">
      <c r="A4" s="160" t="s">
        <v>430</v>
      </c>
      <c r="B4" s="167">
        <v>2.53018E8</v>
      </c>
      <c r="C4" s="167">
        <v>2.56163E8</v>
      </c>
      <c r="D4" s="167">
        <v>2.556E8</v>
      </c>
      <c r="E4" s="167">
        <v>2.36398E8</v>
      </c>
      <c r="F4" s="167">
        <v>2.28357E8</v>
      </c>
      <c r="G4" s="167">
        <v>2.26122E8</v>
      </c>
      <c r="H4" s="167">
        <v>1.56614E8</v>
      </c>
      <c r="I4" s="167">
        <v>1.48802E8</v>
      </c>
      <c r="J4" s="167">
        <v>1.39878E8</v>
      </c>
      <c r="K4" s="167">
        <v>1.38895E8</v>
      </c>
      <c r="L4" s="167">
        <v>1.39564E8</v>
      </c>
      <c r="M4" s="167">
        <v>1.40303E8</v>
      </c>
      <c r="N4" s="167">
        <v>1.26457E8</v>
      </c>
      <c r="O4" s="167">
        <v>1.14751E8</v>
      </c>
      <c r="P4" s="167">
        <v>1.14026E8</v>
      </c>
      <c r="Q4" s="167">
        <v>1.14472E8</v>
      </c>
      <c r="R4" s="167">
        <v>1.14644E8</v>
      </c>
    </row>
    <row r="5" ht="13.5" customHeight="1">
      <c r="A5" s="160" t="s">
        <v>431</v>
      </c>
      <c r="B5" s="169">
        <v>0.9727</v>
      </c>
      <c r="C5" s="169">
        <v>0.9716</v>
      </c>
      <c r="D5" s="169">
        <v>0.9717</v>
      </c>
      <c r="E5" s="169">
        <v>0.9708</v>
      </c>
      <c r="F5" s="169">
        <v>0.971</v>
      </c>
      <c r="G5" s="169">
        <v>0.9764</v>
      </c>
      <c r="H5" s="169">
        <v>0.9682</v>
      </c>
      <c r="I5" s="169">
        <v>0.9719</v>
      </c>
      <c r="J5" s="169">
        <v>0.9708</v>
      </c>
      <c r="K5" s="169">
        <v>0.9735</v>
      </c>
      <c r="L5" s="169">
        <v>0.9703</v>
      </c>
      <c r="M5" s="169">
        <v>0.9714</v>
      </c>
      <c r="N5" s="169">
        <v>0.971</v>
      </c>
      <c r="O5" s="169">
        <v>0.9656</v>
      </c>
      <c r="P5" s="169">
        <v>0.971</v>
      </c>
      <c r="Q5" s="169">
        <v>0.9714</v>
      </c>
      <c r="R5" s="169">
        <v>0.9699</v>
      </c>
    </row>
    <row r="6" ht="13.5" customHeight="1">
      <c r="A6" s="160" t="s">
        <v>432</v>
      </c>
      <c r="B6" s="167">
        <v>2.108E8</v>
      </c>
      <c r="C6" s="167">
        <v>2.103E8</v>
      </c>
      <c r="D6" s="167">
        <v>2.054E8</v>
      </c>
      <c r="E6" s="167">
        <v>2.01123E8</v>
      </c>
      <c r="F6" s="167">
        <v>1.96102E8</v>
      </c>
      <c r="G6" s="167">
        <v>1.8583E8</v>
      </c>
      <c r="H6" s="167">
        <v>1.32831E8</v>
      </c>
      <c r="I6" s="167">
        <v>1.21802E8</v>
      </c>
      <c r="J6" s="167">
        <v>1.16811E8</v>
      </c>
      <c r="K6" s="167">
        <v>1.1175E8</v>
      </c>
      <c r="L6" s="167">
        <v>1.1312E8</v>
      </c>
      <c r="M6" s="167">
        <v>1.1357E8</v>
      </c>
      <c r="N6" s="167">
        <v>1.06689E8</v>
      </c>
      <c r="O6" s="167">
        <v>1.04757E8</v>
      </c>
      <c r="P6" s="167">
        <v>1.0139E8</v>
      </c>
      <c r="Q6" s="167">
        <v>1.00275E8</v>
      </c>
      <c r="R6" s="167">
        <v>9.6232E7</v>
      </c>
    </row>
    <row r="7" ht="13.5" customHeight="1">
      <c r="A7" s="160" t="s">
        <v>433</v>
      </c>
      <c r="B7" s="169">
        <v>0.8104</v>
      </c>
      <c r="C7" s="169">
        <v>0.7976</v>
      </c>
      <c r="D7" s="169">
        <v>0.7809</v>
      </c>
      <c r="E7" s="169">
        <v>0.8259</v>
      </c>
      <c r="F7" s="169">
        <v>0.8338</v>
      </c>
      <c r="G7" s="169">
        <v>0.8024</v>
      </c>
      <c r="H7" s="169">
        <v>0.8212</v>
      </c>
      <c r="I7" s="169">
        <v>0.7956</v>
      </c>
      <c r="J7" s="169">
        <v>0.8107</v>
      </c>
      <c r="K7" s="169">
        <v>0.7833</v>
      </c>
      <c r="L7" s="169">
        <v>0.7865</v>
      </c>
      <c r="M7" s="169">
        <v>0.7863</v>
      </c>
      <c r="N7" s="169">
        <v>0.8192</v>
      </c>
      <c r="O7" s="169">
        <v>0.8815</v>
      </c>
      <c r="P7" s="169">
        <v>0.6972</v>
      </c>
      <c r="Q7" s="169">
        <v>0.8509</v>
      </c>
      <c r="R7" s="169">
        <v>0.8608</v>
      </c>
    </row>
    <row r="8" ht="13.5" customHeight="1">
      <c r="A8" s="160" t="s">
        <v>434</v>
      </c>
      <c r="B8" s="161">
        <v>0.63</v>
      </c>
      <c r="C8" s="161">
        <v>0.63</v>
      </c>
      <c r="D8" s="161">
        <v>0.61</v>
      </c>
      <c r="E8" s="161">
        <v>0.6</v>
      </c>
      <c r="F8" s="161">
        <v>0.58</v>
      </c>
      <c r="G8" s="161">
        <v>0.55</v>
      </c>
      <c r="H8" s="161">
        <v>0.4</v>
      </c>
      <c r="I8" s="161">
        <v>0.36</v>
      </c>
      <c r="J8" s="161">
        <v>0.48</v>
      </c>
      <c r="K8" s="161">
        <v>0.46</v>
      </c>
      <c r="L8" s="161">
        <v>0.47</v>
      </c>
      <c r="M8" s="161">
        <v>0.47</v>
      </c>
      <c r="N8" s="161">
        <v>0.44</v>
      </c>
      <c r="O8" s="161">
        <v>0.43</v>
      </c>
      <c r="P8" s="161">
        <v>0.34</v>
      </c>
      <c r="Q8" s="161">
        <v>0.41</v>
      </c>
      <c r="R8" s="161">
        <v>0.42</v>
      </c>
    </row>
    <row r="9" ht="13.5" customHeight="1">
      <c r="A9" s="160" t="s">
        <v>435</v>
      </c>
      <c r="B9" s="161">
        <v>1.9428950402E8</v>
      </c>
      <c r="C9" s="161">
        <v>1.9480821657E8</v>
      </c>
      <c r="D9" s="161">
        <v>1.9383451125E8</v>
      </c>
      <c r="E9" s="161">
        <v>1.9063270868E8</v>
      </c>
      <c r="F9" s="161">
        <v>1.9059213312E8</v>
      </c>
      <c r="G9" s="161">
        <v>1.7971649889E8</v>
      </c>
      <c r="H9" s="161">
        <v>1.5526601529E8</v>
      </c>
      <c r="I9" s="161">
        <v>1.552521544E8</v>
      </c>
      <c r="J9" s="161">
        <v>1.117452259E8</v>
      </c>
      <c r="K9" s="161">
        <v>1.117452259E8</v>
      </c>
      <c r="L9" s="161">
        <v>1.1356916492E8</v>
      </c>
      <c r="M9" s="161">
        <v>1.0669019089E8</v>
      </c>
      <c r="N9" s="161">
        <v>1.0479510205E8</v>
      </c>
      <c r="O9" s="161">
        <v>1.0139317122E8</v>
      </c>
      <c r="P9" s="161">
        <v>1.0138542256E8</v>
      </c>
      <c r="Q9" s="161">
        <v>1.0075675073E8</v>
      </c>
      <c r="R9" s="161">
        <v>9.622812439E7</v>
      </c>
    </row>
    <row r="10" ht="13.5" customHeight="1">
      <c r="A10" s="160" t="s">
        <v>154</v>
      </c>
      <c r="B10" s="194">
        <f t="array" ref="B10">IF(SUMIFS(INDIRECT("'"&amp;A$1&amp;"_DIV'!"&amp;"C:C"),INDIRECT("'"&amp;A$1&amp;"_DIV'!"&amp;"E:E"),B1)=0,"",SUMIFS(INDIRECT("'"&amp;A$1&amp;"_DIV'!"&amp;"C:C"),INDIRECT("'"&amp;A$1&amp;"_DIV'!"&amp;"E:E"),B1))</f>
        <v>0.5797</v>
      </c>
      <c r="C10" s="194">
        <f t="array" ref="C10">SUMIFS(INDIRECT("'"&amp;A$1&amp;"_DIV'!"&amp;"C:C"),INDIRECT("'"&amp;A$1&amp;"_DIV'!"&amp;"E:E"),C1)</f>
        <v>0.580578</v>
      </c>
      <c r="D10" s="194">
        <f t="array" ref="D10">SUMIFS(INDIRECT("'"&amp;A$1&amp;"_DIV'!"&amp;"C:C"),INDIRECT("'"&amp;A$1&amp;"_DIV'!"&amp;"E:E"),D1)</f>
        <v>0.55953</v>
      </c>
      <c r="E10" s="194">
        <f t="array" ref="E10">SUMIFS(INDIRECT("'"&amp;A$1&amp;"_DIV'!"&amp;"C:C"),INDIRECT("'"&amp;A$1&amp;"_DIV'!"&amp;"E:E"),E1)</f>
        <v>0.577344</v>
      </c>
      <c r="F10" s="194">
        <f t="array" ref="F10">SUMIFS(INDIRECT("'"&amp;A$1&amp;"_DIV'!"&amp;"C:C"),INDIRECT("'"&amp;A$1&amp;"_DIV'!"&amp;"E:E"),F1)</f>
        <v>0</v>
      </c>
      <c r="G10" s="161">
        <v>0.54</v>
      </c>
      <c r="H10" s="161">
        <v>0.46</v>
      </c>
      <c r="I10" s="161">
        <v>0.46</v>
      </c>
      <c r="J10" s="161">
        <v>0.46</v>
      </c>
      <c r="K10" s="161">
        <v>0.46</v>
      </c>
      <c r="L10" s="161">
        <v>0.47</v>
      </c>
      <c r="M10" s="161">
        <v>0.44</v>
      </c>
      <c r="N10" s="161">
        <v>0.43</v>
      </c>
      <c r="O10" s="161">
        <v>0.42</v>
      </c>
      <c r="P10" s="161">
        <v>0.42</v>
      </c>
      <c r="Q10" s="161">
        <v>0.4</v>
      </c>
      <c r="R10" s="161">
        <v>0.39</v>
      </c>
    </row>
    <row r="11" ht="13.5" customHeight="1">
      <c r="A11" s="160" t="s">
        <v>436</v>
      </c>
      <c r="B11" s="171">
        <v>3.35560456E8</v>
      </c>
      <c r="C11" s="171">
        <v>3.35760456E8</v>
      </c>
      <c r="D11" s="171">
        <v>3.35760456E8</v>
      </c>
      <c r="E11" s="171">
        <v>3.35739184E8</v>
      </c>
      <c r="F11" s="171">
        <v>3.35667723E8</v>
      </c>
      <c r="G11" s="171">
        <v>3.35667723E8</v>
      </c>
      <c r="H11" s="171">
        <v>3.35637733E8</v>
      </c>
      <c r="I11" s="171">
        <v>3.3560777E8</v>
      </c>
      <c r="J11" s="171">
        <v>2.41715825E8</v>
      </c>
      <c r="K11" s="171">
        <v>2.41715825E8</v>
      </c>
      <c r="L11" s="171">
        <v>2.41893855E8</v>
      </c>
      <c r="M11" s="171">
        <v>2.41873024E8</v>
      </c>
      <c r="N11" s="171">
        <v>2.41853455E8</v>
      </c>
      <c r="O11" s="171">
        <v>2.41815338E8</v>
      </c>
      <c r="P11" s="171">
        <v>2.41796858E8</v>
      </c>
      <c r="Q11" s="171">
        <v>2.41796858E8</v>
      </c>
      <c r="R11" s="171">
        <v>2.41779207E8</v>
      </c>
    </row>
    <row r="12" ht="13.5" customHeight="1">
      <c r="A12" s="172" t="s">
        <v>382</v>
      </c>
      <c r="B12" s="173">
        <v>0.0762</v>
      </c>
      <c r="C12" s="173">
        <v>0.0764</v>
      </c>
      <c r="D12" s="173">
        <v>0.0779</v>
      </c>
      <c r="E12" s="173"/>
      <c r="F12" s="173"/>
      <c r="G12" s="173"/>
      <c r="H12" s="173"/>
      <c r="I12" s="173"/>
      <c r="J12" s="173"/>
      <c r="K12" s="173"/>
      <c r="L12" s="173"/>
    </row>
    <row r="13" ht="13.5" customHeight="1">
      <c r="A13" s="179" t="s">
        <v>383</v>
      </c>
      <c r="B13" s="196">
        <v>1.02849279764E10</v>
      </c>
      <c r="C13" s="176">
        <v>1.09082263225E10</v>
      </c>
      <c r="D13" s="176">
        <v>9.67997394648E9</v>
      </c>
      <c r="E13" s="176"/>
      <c r="F13" s="176"/>
      <c r="G13" s="176"/>
      <c r="H13" s="176"/>
      <c r="I13" s="176"/>
      <c r="J13" s="176"/>
      <c r="K13" s="176"/>
      <c r="L13" s="176"/>
    </row>
    <row r="14" ht="13.5" customHeight="1">
      <c r="A14" s="179" t="s">
        <v>438</v>
      </c>
      <c r="B14" s="173">
        <v>0.5016</v>
      </c>
      <c r="C14" s="173">
        <v>0.4124</v>
      </c>
      <c r="D14" s="173">
        <v>0.3079</v>
      </c>
      <c r="E14" s="173"/>
      <c r="F14" s="173"/>
      <c r="G14" s="173"/>
      <c r="H14" s="173"/>
      <c r="I14" s="173"/>
      <c r="J14" s="173"/>
      <c r="K14" s="173"/>
      <c r="L14" s="173"/>
    </row>
    <row r="15" ht="13.5" customHeight="1">
      <c r="A15" s="179" t="s">
        <v>439</v>
      </c>
      <c r="B15" s="173">
        <v>0.4783</v>
      </c>
      <c r="C15" s="173">
        <v>0.4627</v>
      </c>
      <c r="D15" s="173">
        <v>0.4391</v>
      </c>
      <c r="F15" s="173"/>
      <c r="G15" s="173"/>
      <c r="H15" s="173"/>
      <c r="I15" s="173"/>
      <c r="J15" s="173"/>
      <c r="K15" s="173"/>
      <c r="L15" s="173"/>
    </row>
    <row r="16" ht="13.5" customHeight="1">
      <c r="A16" s="179" t="s">
        <v>440</v>
      </c>
      <c r="B16" s="173">
        <v>0.0756</v>
      </c>
      <c r="C16" s="173">
        <v>0.0569</v>
      </c>
      <c r="D16" s="173">
        <v>0.0801</v>
      </c>
      <c r="E16" s="173"/>
      <c r="F16" s="173"/>
      <c r="G16" s="173"/>
      <c r="H16" s="173"/>
      <c r="I16" s="173"/>
      <c r="J16" s="173"/>
      <c r="K16" s="173"/>
      <c r="L16" s="173"/>
    </row>
    <row r="17" ht="13.5" customHeight="1">
      <c r="A17" s="179" t="s">
        <v>389</v>
      </c>
      <c r="B17" s="198">
        <v>20.41</v>
      </c>
      <c r="C17" s="198">
        <v>21.59</v>
      </c>
      <c r="D17" s="198">
        <v>22.04</v>
      </c>
      <c r="E17" s="198"/>
      <c r="F17" s="198"/>
      <c r="G17" s="198"/>
      <c r="H17" s="198"/>
      <c r="I17" s="198"/>
      <c r="J17" s="198"/>
      <c r="K17" s="198"/>
      <c r="L17" s="198"/>
    </row>
    <row r="18" ht="13.5" customHeight="1">
      <c r="A18" s="179" t="s">
        <v>390</v>
      </c>
      <c r="B18" s="200">
        <v>0.273</v>
      </c>
      <c r="C18" s="200">
        <v>0.1372</v>
      </c>
      <c r="D18" s="200">
        <v>0.1229</v>
      </c>
      <c r="E18" s="200"/>
      <c r="F18" s="200"/>
      <c r="G18" s="200"/>
      <c r="H18" s="200"/>
      <c r="I18" s="200"/>
      <c r="J18" s="200"/>
      <c r="K18" s="200"/>
      <c r="L18" s="200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19.57"/>
  </cols>
  <sheetData>
    <row r="1">
      <c r="A1" s="166" t="s">
        <v>129</v>
      </c>
      <c r="B1" s="166" t="s">
        <v>155</v>
      </c>
    </row>
    <row r="2">
      <c r="A2" s="103" t="s">
        <v>512</v>
      </c>
      <c r="B2" s="103" t="s">
        <v>513</v>
      </c>
      <c r="C2" s="187">
        <f t="shared" ref="C2:C21" si="1">VALUE(SUBSTITUTE(SUBSTITUTE(B2,"MXN $",""),"",""))</f>
        <v>0.5797</v>
      </c>
      <c r="D2" s="188" t="str">
        <f t="shared" ref="D2:D21" si="2">SUBSTITUTE(SUBSTITUTE(A2,"de",""),"","")</f>
        <v>11  mayo  2023</v>
      </c>
      <c r="E2" s="189" t="str">
        <f t="shared" ref="E2:E21" si="3">IF(IF(ROUNDUP(MONTH(D2)/3,0)-1=0,4,ROUNDUP(MONTH(D2)/3,0)-1)=4,YEAR(D2)-1,YEAR(D2)) &amp; " Q" &amp; IF(ROUNDUP(MONTH(D2)/3,0)-1=0,4,ROUNDUP(MONTH(D2)/3,0)-1)</f>
        <v>2023 Q1</v>
      </c>
      <c r="F2" s="103" t="s">
        <v>133</v>
      </c>
    </row>
    <row r="3">
      <c r="A3" s="166" t="s">
        <v>514</v>
      </c>
      <c r="B3" s="166" t="s">
        <v>515</v>
      </c>
      <c r="C3" s="187">
        <f t="shared" si="1"/>
        <v>0.580578</v>
      </c>
      <c r="D3" s="188" t="str">
        <f t="shared" si="2"/>
        <v>21  febrero  2023</v>
      </c>
      <c r="E3" s="189" t="str">
        <f t="shared" si="3"/>
        <v>2022 Q4</v>
      </c>
      <c r="F3" s="103" t="s">
        <v>133</v>
      </c>
    </row>
    <row r="4">
      <c r="A4" s="166" t="s">
        <v>516</v>
      </c>
      <c r="B4" s="166" t="s">
        <v>517</v>
      </c>
      <c r="C4" s="187">
        <f t="shared" si="1"/>
        <v>0.55953</v>
      </c>
      <c r="D4" s="188" t="str">
        <f t="shared" si="2"/>
        <v>15  noviembre  2022</v>
      </c>
      <c r="E4" s="189" t="str">
        <f t="shared" si="3"/>
        <v>2022 Q3</v>
      </c>
    </row>
    <row r="5">
      <c r="A5" s="166" t="s">
        <v>518</v>
      </c>
      <c r="B5" s="166" t="s">
        <v>519</v>
      </c>
      <c r="C5" s="187">
        <f t="shared" si="1"/>
        <v>0.577344</v>
      </c>
      <c r="D5" s="188" t="str">
        <f t="shared" si="2"/>
        <v>28  julio  2022</v>
      </c>
      <c r="E5" s="189" t="str">
        <f t="shared" si="3"/>
        <v>2022 Q2</v>
      </c>
    </row>
    <row r="6">
      <c r="A6" s="166" t="s">
        <v>520</v>
      </c>
      <c r="B6" s="166" t="s">
        <v>521</v>
      </c>
      <c r="C6" s="187">
        <f t="shared" si="1"/>
        <v>0.53541</v>
      </c>
      <c r="D6" s="188" t="str">
        <f t="shared" si="2"/>
        <v>10  marzo  2022</v>
      </c>
      <c r="E6" s="189" t="str">
        <f t="shared" si="3"/>
        <v>2021 Q4</v>
      </c>
    </row>
    <row r="7">
      <c r="A7" s="166" t="s">
        <v>522</v>
      </c>
      <c r="B7" s="166" t="s">
        <v>523</v>
      </c>
      <c r="C7" s="187">
        <f t="shared" si="1"/>
        <v>0.463032</v>
      </c>
      <c r="D7" s="188" t="str">
        <f t="shared" si="2"/>
        <v>17  noviembre  2021</v>
      </c>
      <c r="E7" s="189" t="str">
        <f t="shared" si="3"/>
        <v>2021 Q3</v>
      </c>
    </row>
    <row r="8">
      <c r="A8" s="166" t="s">
        <v>524</v>
      </c>
      <c r="B8" s="166" t="s">
        <v>525</v>
      </c>
      <c r="C8" s="187">
        <f t="shared" si="1"/>
        <v>0.462611</v>
      </c>
      <c r="D8" s="188" t="str">
        <f t="shared" si="2"/>
        <v>10  agosto  2021</v>
      </c>
      <c r="E8" s="189" t="str">
        <f t="shared" si="3"/>
        <v>2021 Q2</v>
      </c>
    </row>
    <row r="9">
      <c r="A9" s="166" t="s">
        <v>526</v>
      </c>
      <c r="B9" s="166" t="s">
        <v>527</v>
      </c>
      <c r="C9" s="187">
        <f t="shared" si="1"/>
        <v>0.462256</v>
      </c>
      <c r="D9" s="188" t="str">
        <f t="shared" si="2"/>
        <v>11  mayo  2021</v>
      </c>
      <c r="E9" s="189" t="str">
        <f t="shared" si="3"/>
        <v>2021 Q1</v>
      </c>
    </row>
    <row r="10">
      <c r="A10" s="166" t="s">
        <v>528</v>
      </c>
      <c r="B10" s="166" t="s">
        <v>529</v>
      </c>
      <c r="C10" s="187">
        <f t="shared" si="1"/>
        <v>0.46232</v>
      </c>
      <c r="D10" s="188" t="str">
        <f t="shared" si="2"/>
        <v>17  marzo  2021</v>
      </c>
      <c r="E10" s="189" t="str">
        <f t="shared" si="3"/>
        <v>2020 Q4</v>
      </c>
    </row>
    <row r="11">
      <c r="A11" s="166" t="s">
        <v>237</v>
      </c>
      <c r="B11" s="166" t="s">
        <v>530</v>
      </c>
      <c r="C11" s="187">
        <f t="shared" si="1"/>
        <v>0.468028</v>
      </c>
      <c r="D11" s="188" t="str">
        <f t="shared" si="2"/>
        <v>18  noviembre  2020</v>
      </c>
      <c r="E11" s="189" t="str">
        <f t="shared" si="3"/>
        <v>2020 Q3</v>
      </c>
    </row>
    <row r="12">
      <c r="A12" s="166" t="s">
        <v>531</v>
      </c>
      <c r="B12" s="166" t="s">
        <v>532</v>
      </c>
      <c r="C12" s="187">
        <f t="shared" si="1"/>
        <v>0.469544</v>
      </c>
      <c r="D12" s="188" t="str">
        <f t="shared" si="2"/>
        <v>13  agosto  2020</v>
      </c>
      <c r="E12" s="189" t="str">
        <f t="shared" si="3"/>
        <v>2020 Q2</v>
      </c>
    </row>
    <row r="13">
      <c r="A13" s="166" t="s">
        <v>533</v>
      </c>
      <c r="B13" s="166" t="s">
        <v>534</v>
      </c>
      <c r="C13" s="187">
        <f t="shared" si="1"/>
        <v>0.441131</v>
      </c>
      <c r="D13" s="188" t="str">
        <f t="shared" si="2"/>
        <v>20  mayo  2020</v>
      </c>
      <c r="E13" s="189" t="str">
        <f t="shared" si="3"/>
        <v>2020 Q1</v>
      </c>
    </row>
    <row r="14">
      <c r="A14" s="166" t="s">
        <v>535</v>
      </c>
      <c r="B14" s="166" t="s">
        <v>536</v>
      </c>
      <c r="C14" s="187">
        <f t="shared" si="1"/>
        <v>0.419319</v>
      </c>
      <c r="D14" s="188" t="str">
        <f t="shared" si="2"/>
        <v>29  noviembre  2019</v>
      </c>
      <c r="E14" s="189" t="str">
        <f t="shared" si="3"/>
        <v>2019 Q3</v>
      </c>
    </row>
    <row r="15">
      <c r="A15" s="166" t="s">
        <v>537</v>
      </c>
      <c r="B15" s="166" t="s">
        <v>538</v>
      </c>
      <c r="C15" s="187">
        <f t="shared" si="1"/>
        <v>0.416672</v>
      </c>
      <c r="D15" s="188" t="str">
        <f t="shared" si="2"/>
        <v>28  agosto  2019</v>
      </c>
      <c r="E15" s="189" t="str">
        <f t="shared" si="3"/>
        <v>2019 Q2</v>
      </c>
    </row>
    <row r="16">
      <c r="A16" s="166" t="s">
        <v>539</v>
      </c>
      <c r="B16" s="166" t="s">
        <v>540</v>
      </c>
      <c r="C16" s="187">
        <f t="shared" si="1"/>
        <v>0.398016</v>
      </c>
      <c r="D16" s="188" t="str">
        <f t="shared" si="2"/>
        <v>23  mayo  2019</v>
      </c>
      <c r="E16" s="189" t="str">
        <f t="shared" si="3"/>
        <v>2019 Q1</v>
      </c>
    </row>
    <row r="17">
      <c r="A17" s="166" t="s">
        <v>541</v>
      </c>
      <c r="B17" s="166" t="s">
        <v>542</v>
      </c>
      <c r="C17" s="187">
        <f t="shared" si="1"/>
        <v>0.394103</v>
      </c>
      <c r="D17" s="188" t="str">
        <f t="shared" si="2"/>
        <v>19  marzo  2019</v>
      </c>
      <c r="E17" s="189" t="str">
        <f t="shared" si="3"/>
        <v>2018 Q4</v>
      </c>
    </row>
    <row r="18">
      <c r="A18" s="166" t="s">
        <v>317</v>
      </c>
      <c r="B18" s="166" t="s">
        <v>543</v>
      </c>
      <c r="C18" s="187">
        <f t="shared" si="1"/>
        <v>0.391301</v>
      </c>
      <c r="D18" s="188" t="str">
        <f t="shared" si="2"/>
        <v>22  noviembre  2018</v>
      </c>
      <c r="E18" s="189" t="str">
        <f t="shared" si="3"/>
        <v>2018 Q3</v>
      </c>
    </row>
    <row r="19">
      <c r="A19" s="166" t="s">
        <v>544</v>
      </c>
      <c r="B19" s="166" t="s">
        <v>545</v>
      </c>
      <c r="C19" s="187">
        <f t="shared" si="1"/>
        <v>0.381661</v>
      </c>
      <c r="D19" s="188" t="str">
        <f t="shared" si="2"/>
        <v>5  septiembre  2018</v>
      </c>
      <c r="E19" s="189" t="str">
        <f t="shared" si="3"/>
        <v>2018 Q2</v>
      </c>
    </row>
    <row r="20">
      <c r="A20" s="166" t="s">
        <v>546</v>
      </c>
      <c r="B20" s="166" t="s">
        <v>547</v>
      </c>
      <c r="C20" s="187">
        <f t="shared" si="1"/>
        <v>0.373692</v>
      </c>
      <c r="D20" s="188" t="str">
        <f t="shared" si="2"/>
        <v>25  mayo  2018</v>
      </c>
      <c r="E20" s="189" t="str">
        <f t="shared" si="3"/>
        <v>2018 Q1</v>
      </c>
    </row>
    <row r="21">
      <c r="A21" s="166" t="s">
        <v>548</v>
      </c>
      <c r="B21" s="166" t="s">
        <v>549</v>
      </c>
      <c r="C21" s="187">
        <f t="shared" si="1"/>
        <v>0.367326</v>
      </c>
      <c r="D21" s="188" t="str">
        <f t="shared" si="2"/>
        <v>7  marzo  2018</v>
      </c>
      <c r="E21" s="189" t="str">
        <f t="shared" si="3"/>
        <v>2017 Q4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>
      <c r="A1" s="159" t="s">
        <v>510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  <c r="G1" s="159" t="s">
        <v>361</v>
      </c>
      <c r="H1" s="159" t="s">
        <v>362</v>
      </c>
      <c r="I1" s="159" t="s">
        <v>363</v>
      </c>
      <c r="J1" s="159" t="s">
        <v>364</v>
      </c>
      <c r="K1" s="159" t="s">
        <v>365</v>
      </c>
      <c r="L1" s="159" t="s">
        <v>366</v>
      </c>
      <c r="M1" s="159" t="s">
        <v>367</v>
      </c>
      <c r="N1" s="159" t="s">
        <v>368</v>
      </c>
      <c r="O1" s="159" t="s">
        <v>369</v>
      </c>
      <c r="P1" s="159" t="s">
        <v>370</v>
      </c>
      <c r="Q1" s="159" t="s">
        <v>371</v>
      </c>
      <c r="R1" s="159" t="s">
        <v>372</v>
      </c>
    </row>
    <row r="2" ht="13.5" customHeight="1">
      <c r="A2" s="160" t="s">
        <v>428</v>
      </c>
      <c r="B2" s="160"/>
      <c r="C2" s="167">
        <v>1.72544E8</v>
      </c>
      <c r="D2" s="167">
        <v>1.74075E8</v>
      </c>
      <c r="E2" s="167">
        <v>1.76E8</v>
      </c>
      <c r="F2" s="167">
        <v>1.75381E8</v>
      </c>
      <c r="G2" s="167">
        <v>5.32249E8</v>
      </c>
      <c r="H2" s="167">
        <v>3.449E7</v>
      </c>
      <c r="I2" s="167">
        <v>2.8325E7</v>
      </c>
      <c r="J2" s="167">
        <v>2.8673E7</v>
      </c>
      <c r="K2" s="167">
        <v>2.9873E7</v>
      </c>
      <c r="L2" s="167">
        <v>3.0979E7</v>
      </c>
      <c r="M2" s="167">
        <v>3.2471E7</v>
      </c>
      <c r="N2" s="167">
        <v>2.7319E7</v>
      </c>
      <c r="O2" s="167">
        <v>2.7135E7</v>
      </c>
      <c r="P2" s="167">
        <v>2.6643E7</v>
      </c>
      <c r="Q2" s="167">
        <v>2.616E7</v>
      </c>
      <c r="R2" s="167">
        <v>2.6787E7</v>
      </c>
    </row>
    <row r="3" ht="13.5" customHeight="1">
      <c r="A3" s="160" t="s">
        <v>429</v>
      </c>
      <c r="B3" s="160"/>
      <c r="C3" s="167">
        <v>1.72544E8</v>
      </c>
      <c r="D3" s="167">
        <v>1.74075E8</v>
      </c>
      <c r="E3" s="167">
        <v>1.76E8</v>
      </c>
      <c r="F3" s="167">
        <v>1.75381E8</v>
      </c>
      <c r="G3" s="167">
        <v>5.32249E8</v>
      </c>
      <c r="H3" s="167">
        <v>3.449E7</v>
      </c>
      <c r="I3" s="167">
        <v>2.8325E7</v>
      </c>
      <c r="J3" s="167">
        <v>2.9039E7</v>
      </c>
      <c r="K3" s="167">
        <v>2.9873E7</v>
      </c>
      <c r="L3" s="167">
        <v>3.0979E7</v>
      </c>
      <c r="M3" s="167">
        <v>3.2471E7</v>
      </c>
      <c r="N3" s="167">
        <v>2.7319E7</v>
      </c>
      <c r="O3" s="167">
        <v>2.7135E7</v>
      </c>
      <c r="P3" s="167">
        <v>2.6643E7</v>
      </c>
      <c r="Q3" s="167">
        <v>2.616E7</v>
      </c>
      <c r="R3" s="167">
        <v>2.6787E7</v>
      </c>
    </row>
    <row r="4" ht="13.5" customHeight="1">
      <c r="A4" s="160" t="s">
        <v>430</v>
      </c>
      <c r="B4" s="160"/>
      <c r="C4" s="167">
        <v>1.36907E8</v>
      </c>
      <c r="D4" s="167">
        <v>1.41265E8</v>
      </c>
      <c r="E4" s="167">
        <v>1.48487E8</v>
      </c>
      <c r="F4" s="167">
        <v>1.56209E8</v>
      </c>
      <c r="G4" s="167">
        <v>7.8069E7</v>
      </c>
      <c r="H4" s="167">
        <v>2.9832E7</v>
      </c>
      <c r="I4" s="167">
        <v>2.5043E7</v>
      </c>
      <c r="J4" s="167">
        <v>2.5599E7</v>
      </c>
      <c r="K4" s="167">
        <v>2.6501E7</v>
      </c>
      <c r="L4" s="167">
        <v>2.885E7</v>
      </c>
      <c r="M4" s="167">
        <v>3.055E7</v>
      </c>
      <c r="N4" s="167">
        <v>2.6089E7</v>
      </c>
      <c r="O4" s="167">
        <v>2.4151E7</v>
      </c>
      <c r="P4" s="167">
        <v>2.6605E7</v>
      </c>
      <c r="Q4" s="167">
        <v>2.54E7</v>
      </c>
      <c r="R4" s="167">
        <v>2.5891E7</v>
      </c>
    </row>
    <row r="5" ht="13.5" customHeight="1">
      <c r="A5" s="160" t="s">
        <v>431</v>
      </c>
      <c r="B5" s="160"/>
      <c r="C5" s="169">
        <v>0.7935</v>
      </c>
      <c r="D5" s="169">
        <v>0.8115</v>
      </c>
      <c r="E5" s="169">
        <v>0.8437</v>
      </c>
      <c r="F5" s="169">
        <v>0.8907</v>
      </c>
      <c r="G5" s="169">
        <v>0.1467</v>
      </c>
      <c r="H5" s="169">
        <v>0.8649</v>
      </c>
      <c r="I5" s="169">
        <v>0.8841</v>
      </c>
      <c r="J5" s="169">
        <v>0.8815</v>
      </c>
      <c r="K5" s="169">
        <v>0.8871</v>
      </c>
      <c r="L5" s="169">
        <v>0.9313</v>
      </c>
      <c r="M5" s="169">
        <v>0.9408</v>
      </c>
      <c r="N5" s="169">
        <v>0.955</v>
      </c>
      <c r="O5" s="169">
        <v>0.89</v>
      </c>
      <c r="P5" s="169">
        <v>0.9986</v>
      </c>
      <c r="Q5" s="169">
        <v>0.9709</v>
      </c>
      <c r="R5" s="169">
        <v>0.9666</v>
      </c>
    </row>
    <row r="6" ht="13.5" customHeight="1">
      <c r="A6" s="160" t="s">
        <v>432</v>
      </c>
      <c r="B6" s="160"/>
      <c r="C6" s="167">
        <v>4.8206E7</v>
      </c>
      <c r="D6" s="167">
        <v>-3.4159E7</v>
      </c>
      <c r="E6" s="167">
        <v>6.0293E7</v>
      </c>
      <c r="F6" s="167">
        <v>1.15512E8</v>
      </c>
      <c r="G6" s="160" t="s">
        <v>511</v>
      </c>
      <c r="H6" s="160" t="s">
        <v>511</v>
      </c>
      <c r="I6" s="160" t="s">
        <v>511</v>
      </c>
      <c r="J6" s="160" t="s">
        <v>511</v>
      </c>
      <c r="K6" s="160" t="s">
        <v>511</v>
      </c>
      <c r="L6" s="160" t="s">
        <v>511</v>
      </c>
      <c r="M6" s="160" t="s">
        <v>511</v>
      </c>
      <c r="N6" s="160" t="s">
        <v>511</v>
      </c>
      <c r="O6" s="160" t="s">
        <v>511</v>
      </c>
      <c r="P6" s="160" t="s">
        <v>511</v>
      </c>
      <c r="Q6" s="160" t="s">
        <v>511</v>
      </c>
      <c r="R6" s="160" t="s">
        <v>511</v>
      </c>
    </row>
    <row r="7" ht="13.5" customHeight="1">
      <c r="A7" s="160" t="s">
        <v>433</v>
      </c>
      <c r="B7" s="160"/>
      <c r="C7" s="169">
        <v>0.2794</v>
      </c>
      <c r="D7" s="169">
        <v>-0.1962</v>
      </c>
      <c r="E7" s="169">
        <v>0.3426</v>
      </c>
      <c r="F7" s="169">
        <v>0.6586</v>
      </c>
      <c r="G7" s="160" t="s">
        <v>511</v>
      </c>
      <c r="H7" s="160" t="s">
        <v>511</v>
      </c>
      <c r="I7" s="205">
        <v>0.0</v>
      </c>
      <c r="J7" s="205">
        <v>0.0</v>
      </c>
      <c r="K7" s="205">
        <v>0.0</v>
      </c>
      <c r="L7" s="205">
        <v>0.0</v>
      </c>
      <c r="M7" s="205">
        <v>0.0</v>
      </c>
      <c r="N7" s="205">
        <v>0.0</v>
      </c>
      <c r="O7" s="205">
        <v>0.0</v>
      </c>
      <c r="P7" s="205">
        <v>0.0</v>
      </c>
      <c r="Q7" s="205">
        <v>0.0</v>
      </c>
      <c r="R7" s="205">
        <v>0.0</v>
      </c>
    </row>
    <row r="8" ht="13.5" customHeight="1">
      <c r="A8" s="160" t="s">
        <v>434</v>
      </c>
      <c r="B8" s="160"/>
      <c r="C8" s="161">
        <v>0.08</v>
      </c>
      <c r="D8" s="161">
        <v>-0.05</v>
      </c>
      <c r="E8" s="161">
        <v>0.1</v>
      </c>
      <c r="F8" s="161">
        <v>0.23</v>
      </c>
      <c r="G8" s="160" t="s">
        <v>511</v>
      </c>
      <c r="H8" s="167">
        <v>0.0</v>
      </c>
      <c r="I8" s="167">
        <v>0.0</v>
      </c>
      <c r="J8" s="167">
        <v>0.0</v>
      </c>
      <c r="K8" s="167">
        <v>0.0</v>
      </c>
      <c r="L8" s="167">
        <v>0.0</v>
      </c>
      <c r="M8" s="167">
        <v>0.0</v>
      </c>
      <c r="N8" s="167">
        <v>0.0</v>
      </c>
      <c r="O8" s="167">
        <v>0.0</v>
      </c>
      <c r="P8" s="167">
        <v>0.0</v>
      </c>
      <c r="Q8" s="167">
        <v>0.0</v>
      </c>
      <c r="R8" s="167">
        <v>0.0</v>
      </c>
    </row>
    <row r="9" ht="13.5" customHeight="1">
      <c r="A9" s="160" t="s">
        <v>435</v>
      </c>
      <c r="C9" s="161">
        <v>0.0</v>
      </c>
      <c r="D9" s="161">
        <v>0.0</v>
      </c>
      <c r="E9" s="161">
        <v>0.0</v>
      </c>
      <c r="F9" s="161">
        <v>0.0</v>
      </c>
      <c r="G9" s="161">
        <v>0.0</v>
      </c>
      <c r="H9" s="161">
        <v>0.0</v>
      </c>
      <c r="I9" s="167">
        <v>0.0</v>
      </c>
      <c r="J9" s="167">
        <v>0.0</v>
      </c>
      <c r="K9" s="167">
        <v>0.0</v>
      </c>
      <c r="L9" s="167">
        <v>0.0</v>
      </c>
      <c r="M9" s="167">
        <v>0.0</v>
      </c>
      <c r="N9" s="167">
        <v>0.0</v>
      </c>
      <c r="O9" s="167">
        <v>0.0</v>
      </c>
      <c r="P9" s="167">
        <v>0.0</v>
      </c>
      <c r="Q9" s="167">
        <v>0.0</v>
      </c>
      <c r="R9" s="167">
        <v>0.0</v>
      </c>
    </row>
    <row r="10" ht="13.5" customHeight="1">
      <c r="A10" s="160" t="s">
        <v>154</v>
      </c>
      <c r="B10" s="194">
        <v>0.0868</v>
      </c>
      <c r="C10" s="161">
        <v>0.0</v>
      </c>
      <c r="D10" s="161">
        <v>0.0</v>
      </c>
      <c r="E10" s="161">
        <v>0.0</v>
      </c>
      <c r="F10" s="161">
        <v>0.0</v>
      </c>
      <c r="G10" s="161">
        <v>0.0</v>
      </c>
      <c r="H10" s="161">
        <v>0.0</v>
      </c>
      <c r="I10" s="167">
        <v>0.0</v>
      </c>
      <c r="J10" s="167">
        <v>0.0</v>
      </c>
      <c r="K10" s="167">
        <v>0.0</v>
      </c>
      <c r="L10" s="167">
        <v>0.0</v>
      </c>
      <c r="M10" s="167">
        <v>0.0</v>
      </c>
      <c r="N10" s="167">
        <v>0.0</v>
      </c>
      <c r="O10" s="167">
        <v>0.0</v>
      </c>
      <c r="P10" s="160" t="s">
        <v>511</v>
      </c>
      <c r="Q10" s="167">
        <v>0.0</v>
      </c>
      <c r="R10" s="167">
        <v>0.0</v>
      </c>
    </row>
    <row r="11" ht="13.5" customHeight="1">
      <c r="A11" s="160" t="s">
        <v>436</v>
      </c>
      <c r="B11" s="160"/>
      <c r="C11" s="171">
        <v>6.26321948E8</v>
      </c>
      <c r="D11" s="171">
        <v>6.25412588E8</v>
      </c>
      <c r="E11" s="171">
        <v>6.25412588E8</v>
      </c>
      <c r="F11" s="171">
        <v>5.09111556E8</v>
      </c>
      <c r="G11" s="171">
        <v>5.09873745E8</v>
      </c>
      <c r="H11" s="171">
        <v>3.73526198E8</v>
      </c>
      <c r="I11" s="171">
        <v>3.73023131E8</v>
      </c>
      <c r="J11" s="171">
        <v>3.73526198E8</v>
      </c>
      <c r="K11" s="171">
        <v>3.73526198E8</v>
      </c>
      <c r="L11" s="171">
        <v>3.737667E8</v>
      </c>
      <c r="M11" s="171">
        <v>3.737667E8</v>
      </c>
      <c r="N11" s="171">
        <v>3.737667E8</v>
      </c>
      <c r="O11" s="171">
        <v>3.73023131E8</v>
      </c>
      <c r="P11" s="171">
        <v>3.73023131E8</v>
      </c>
      <c r="Q11" s="171">
        <v>3.73023131E8</v>
      </c>
      <c r="R11" s="171">
        <v>3.73023131E8</v>
      </c>
    </row>
    <row r="12" ht="13.5" customHeight="1">
      <c r="A12" s="172" t="s">
        <v>382</v>
      </c>
      <c r="B12" s="173"/>
      <c r="C12" s="173">
        <v>0.0368</v>
      </c>
      <c r="D12" s="173">
        <v>0.0387</v>
      </c>
      <c r="E12" s="173"/>
      <c r="F12" s="173"/>
      <c r="G12" s="173"/>
      <c r="H12" s="173"/>
      <c r="I12" s="173"/>
    </row>
    <row r="13" ht="13.5" customHeight="1">
      <c r="A13" s="179" t="s">
        <v>383</v>
      </c>
      <c r="B13" s="196"/>
      <c r="C13" s="176">
        <v>2.2971861177E9</v>
      </c>
      <c r="D13" s="176">
        <v>4.6280531512E9</v>
      </c>
      <c r="E13" s="176"/>
      <c r="F13" s="176"/>
      <c r="G13" s="176"/>
      <c r="H13" s="196"/>
      <c r="I13" s="196"/>
    </row>
    <row r="14" ht="13.5" customHeight="1">
      <c r="A14" s="179" t="s">
        <v>438</v>
      </c>
      <c r="B14" s="173"/>
      <c r="C14" s="173">
        <v>-0.5797</v>
      </c>
      <c r="D14" s="173">
        <v>-0.5768</v>
      </c>
      <c r="E14" s="173"/>
      <c r="F14" s="173"/>
      <c r="G14" s="173"/>
      <c r="H14" s="173"/>
      <c r="I14" s="173"/>
    </row>
    <row r="15" ht="13.5" customHeight="1">
      <c r="A15" s="179" t="s">
        <v>439</v>
      </c>
      <c r="B15" s="173"/>
      <c r="C15" s="173">
        <v>0.2454</v>
      </c>
      <c r="D15" s="173">
        <v>0.2789</v>
      </c>
      <c r="E15" s="173"/>
      <c r="F15" s="173"/>
      <c r="G15" s="173"/>
      <c r="H15" s="173"/>
      <c r="I15" s="173"/>
    </row>
    <row r="16" ht="13.5" customHeight="1">
      <c r="A16" s="179" t="s">
        <v>440</v>
      </c>
      <c r="B16" s="173"/>
      <c r="C16" s="173">
        <v>0.0</v>
      </c>
      <c r="D16" s="173">
        <v>0.0</v>
      </c>
      <c r="E16" s="173"/>
      <c r="F16" s="173"/>
      <c r="G16" s="173"/>
      <c r="H16" s="173"/>
      <c r="I16" s="173"/>
    </row>
    <row r="17" ht="13.5" customHeight="1">
      <c r="A17" s="179" t="s">
        <v>389</v>
      </c>
      <c r="B17" s="198"/>
      <c r="C17" s="198">
        <v>17.49</v>
      </c>
      <c r="D17" s="198">
        <v>17.48</v>
      </c>
      <c r="E17" s="198"/>
      <c r="F17" s="198"/>
      <c r="G17" s="198"/>
      <c r="H17" s="198"/>
      <c r="I17" s="198"/>
    </row>
    <row r="18" ht="13.5" customHeight="1">
      <c r="A18" s="179" t="s">
        <v>390</v>
      </c>
      <c r="B18" s="200"/>
      <c r="C18" s="200">
        <v>-0.0111</v>
      </c>
      <c r="D18" s="200">
        <v>-0.0223</v>
      </c>
      <c r="E18" s="200"/>
      <c r="F18" s="200"/>
      <c r="G18" s="200"/>
      <c r="H18" s="200"/>
      <c r="I18" s="200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3" max="3" width="10.14"/>
    <col customWidth="1" min="4" max="4" width="19.14"/>
    <col customWidth="1" min="5" max="5" width="9.43"/>
    <col customWidth="1" min="6" max="6" width="19.43"/>
  </cols>
  <sheetData>
    <row r="1">
      <c r="A1" s="162" t="s">
        <v>129</v>
      </c>
      <c r="B1" s="163" t="s">
        <v>155</v>
      </c>
    </row>
    <row r="2">
      <c r="A2" s="164" t="s">
        <v>550</v>
      </c>
      <c r="B2" s="165" t="s">
        <v>551</v>
      </c>
      <c r="C2" s="187">
        <f t="shared" ref="C2:C68" si="1">VALUE(SUBSTITUTE(SUBSTITUTE(B2,"MXN $",""),"",""))</f>
        <v>0.085</v>
      </c>
      <c r="D2" s="188" t="str">
        <f t="shared" ref="D2:D68" si="2">SUBSTITUTE(SUBSTITUTE(A2,"de",""),"","")</f>
        <v>31  marzo  2023</v>
      </c>
      <c r="E2" s="189" t="str">
        <f t="shared" ref="E2:E68" si="3">IF(IF(ROUNDUP(MONTH(D2)/3,0)-1=0,4,ROUNDUP(MONTH(D2)/3,0)-1)=4,YEAR(D2)-1,YEAR(D2)) &amp; " Q" &amp; IF(ROUNDUP(MONTH(D2)/3,0)-1=0,4,ROUNDUP(MONTH(D2)/3,0)-1)</f>
        <v>2022 Q4</v>
      </c>
      <c r="F2" s="206" t="s">
        <v>133</v>
      </c>
    </row>
    <row r="3">
      <c r="A3" s="164" t="s">
        <v>552</v>
      </c>
      <c r="B3" s="165" t="s">
        <v>553</v>
      </c>
      <c r="C3" s="187">
        <f t="shared" si="1"/>
        <v>0.138411</v>
      </c>
      <c r="D3" s="188" t="str">
        <f t="shared" si="2"/>
        <v>24  febrero  2023</v>
      </c>
      <c r="E3" s="189" t="str">
        <f t="shared" si="3"/>
        <v>2022 Q4</v>
      </c>
      <c r="F3" s="166" t="s">
        <v>132</v>
      </c>
    </row>
    <row r="4">
      <c r="A4" s="164" t="s">
        <v>554</v>
      </c>
      <c r="B4" s="165" t="s">
        <v>555</v>
      </c>
      <c r="C4" s="187">
        <f t="shared" si="1"/>
        <v>0.085256</v>
      </c>
      <c r="D4" s="188" t="str">
        <f t="shared" si="2"/>
        <v>31  enero  2023</v>
      </c>
      <c r="E4" s="189" t="str">
        <f t="shared" si="3"/>
        <v>2022 Q4</v>
      </c>
      <c r="F4" s="103" t="s">
        <v>132</v>
      </c>
    </row>
    <row r="5">
      <c r="A5" s="164" t="s">
        <v>556</v>
      </c>
      <c r="B5" s="165" t="s">
        <v>557</v>
      </c>
      <c r="C5" s="187">
        <f t="shared" si="1"/>
        <v>0.058403</v>
      </c>
      <c r="D5" s="188" t="str">
        <f t="shared" si="2"/>
        <v>30  diciembre  2022</v>
      </c>
      <c r="E5" s="189" t="str">
        <f t="shared" si="3"/>
        <v>2022 Q3</v>
      </c>
    </row>
    <row r="6">
      <c r="A6" s="164" t="s">
        <v>556</v>
      </c>
      <c r="B6" s="165" t="s">
        <v>558</v>
      </c>
      <c r="C6" s="187">
        <f t="shared" si="1"/>
        <v>0.02503</v>
      </c>
      <c r="D6" s="188" t="str">
        <f t="shared" si="2"/>
        <v>30  diciembre  2022</v>
      </c>
      <c r="E6" s="189" t="str">
        <f t="shared" si="3"/>
        <v>2022 Q3</v>
      </c>
    </row>
    <row r="7">
      <c r="A7" s="164" t="s">
        <v>559</v>
      </c>
      <c r="B7" s="165" t="s">
        <v>560</v>
      </c>
      <c r="C7" s="187">
        <f t="shared" si="1"/>
        <v>0.058404</v>
      </c>
      <c r="D7" s="188" t="str">
        <f t="shared" si="2"/>
        <v>30  noviembre  2022</v>
      </c>
      <c r="E7" s="189" t="str">
        <f t="shared" si="3"/>
        <v>2022 Q3</v>
      </c>
    </row>
    <row r="8">
      <c r="A8" s="164" t="s">
        <v>559</v>
      </c>
      <c r="B8" s="165" t="s">
        <v>558</v>
      </c>
      <c r="C8" s="187">
        <f t="shared" si="1"/>
        <v>0.02503</v>
      </c>
      <c r="D8" s="188" t="str">
        <f t="shared" si="2"/>
        <v>30  noviembre  2022</v>
      </c>
      <c r="E8" s="189" t="str">
        <f t="shared" si="3"/>
        <v>2022 Q3</v>
      </c>
    </row>
    <row r="9">
      <c r="A9" s="164" t="s">
        <v>561</v>
      </c>
      <c r="B9" s="165" t="s">
        <v>560</v>
      </c>
      <c r="C9" s="187">
        <f t="shared" si="1"/>
        <v>0.058404</v>
      </c>
      <c r="D9" s="188" t="str">
        <f t="shared" si="2"/>
        <v>31  octubre  2022</v>
      </c>
      <c r="E9" s="189" t="str">
        <f t="shared" si="3"/>
        <v>2022 Q3</v>
      </c>
    </row>
    <row r="10">
      <c r="A10" s="164" t="s">
        <v>561</v>
      </c>
      <c r="B10" s="165" t="s">
        <v>558</v>
      </c>
      <c r="C10" s="187">
        <f t="shared" si="1"/>
        <v>0.02503</v>
      </c>
      <c r="D10" s="188" t="str">
        <f t="shared" si="2"/>
        <v>31  octubre  2022</v>
      </c>
      <c r="E10" s="189" t="str">
        <f t="shared" si="3"/>
        <v>2022 Q3</v>
      </c>
    </row>
    <row r="11">
      <c r="A11" s="164" t="s">
        <v>562</v>
      </c>
      <c r="B11" s="165" t="s">
        <v>563</v>
      </c>
      <c r="C11" s="187">
        <f t="shared" si="1"/>
        <v>0.033582</v>
      </c>
      <c r="D11" s="188" t="str">
        <f t="shared" si="2"/>
        <v>12  septiembre  2022</v>
      </c>
      <c r="E11" s="189" t="str">
        <f t="shared" si="3"/>
        <v>2022 Q2</v>
      </c>
    </row>
    <row r="12">
      <c r="A12" s="164" t="s">
        <v>562</v>
      </c>
      <c r="B12" s="165" t="s">
        <v>564</v>
      </c>
      <c r="C12" s="187">
        <f t="shared" si="1"/>
        <v>0.050373</v>
      </c>
      <c r="D12" s="188" t="str">
        <f t="shared" si="2"/>
        <v>12  septiembre  2022</v>
      </c>
      <c r="E12" s="189" t="str">
        <f t="shared" si="3"/>
        <v>2022 Q2</v>
      </c>
    </row>
    <row r="13">
      <c r="A13" s="164" t="s">
        <v>565</v>
      </c>
      <c r="B13" s="165" t="s">
        <v>563</v>
      </c>
      <c r="C13" s="187">
        <f t="shared" si="1"/>
        <v>0.033582</v>
      </c>
      <c r="D13" s="188" t="str">
        <f t="shared" si="2"/>
        <v>31  agosto  2022</v>
      </c>
      <c r="E13" s="189" t="str">
        <f t="shared" si="3"/>
        <v>2022 Q2</v>
      </c>
    </row>
    <row r="14">
      <c r="A14" s="164" t="s">
        <v>565</v>
      </c>
      <c r="B14" s="165" t="s">
        <v>564</v>
      </c>
      <c r="C14" s="187">
        <f t="shared" si="1"/>
        <v>0.050373</v>
      </c>
      <c r="D14" s="188" t="str">
        <f t="shared" si="2"/>
        <v>31  agosto  2022</v>
      </c>
      <c r="E14" s="189" t="str">
        <f t="shared" si="3"/>
        <v>2022 Q2</v>
      </c>
    </row>
    <row r="15">
      <c r="A15" s="164" t="s">
        <v>186</v>
      </c>
      <c r="B15" s="165" t="s">
        <v>563</v>
      </c>
      <c r="C15" s="187">
        <f t="shared" si="1"/>
        <v>0.033582</v>
      </c>
      <c r="D15" s="188" t="str">
        <f t="shared" si="2"/>
        <v>29  julio  2022</v>
      </c>
      <c r="E15" s="189" t="str">
        <f t="shared" si="3"/>
        <v>2022 Q2</v>
      </c>
    </row>
    <row r="16">
      <c r="A16" s="164" t="s">
        <v>186</v>
      </c>
      <c r="B16" s="165" t="s">
        <v>564</v>
      </c>
      <c r="C16" s="187">
        <f t="shared" si="1"/>
        <v>0.050373</v>
      </c>
      <c r="D16" s="188" t="str">
        <f t="shared" si="2"/>
        <v>29  julio  2022</v>
      </c>
      <c r="E16" s="189" t="str">
        <f t="shared" si="3"/>
        <v>2022 Q2</v>
      </c>
    </row>
    <row r="17">
      <c r="A17" s="164" t="s">
        <v>566</v>
      </c>
      <c r="B17" s="165" t="s">
        <v>567</v>
      </c>
      <c r="C17" s="187">
        <f t="shared" si="1"/>
        <v>0.032887</v>
      </c>
      <c r="D17" s="188" t="str">
        <f t="shared" si="2"/>
        <v>30  junio  2022</v>
      </c>
      <c r="E17" s="189" t="str">
        <f t="shared" si="3"/>
        <v>2022 Q1</v>
      </c>
    </row>
    <row r="18">
      <c r="A18" s="164" t="s">
        <v>566</v>
      </c>
      <c r="B18" s="165" t="s">
        <v>568</v>
      </c>
      <c r="C18" s="187">
        <f t="shared" si="1"/>
        <v>0.04933</v>
      </c>
      <c r="D18" s="188" t="str">
        <f t="shared" si="2"/>
        <v>30  junio  2022</v>
      </c>
      <c r="E18" s="189" t="str">
        <f t="shared" si="3"/>
        <v>2022 Q1</v>
      </c>
    </row>
    <row r="19">
      <c r="A19" s="164" t="s">
        <v>190</v>
      </c>
      <c r="B19" s="165" t="s">
        <v>567</v>
      </c>
      <c r="C19" s="187">
        <f t="shared" si="1"/>
        <v>0.032887</v>
      </c>
      <c r="D19" s="188" t="str">
        <f t="shared" si="2"/>
        <v>31  mayo  2022</v>
      </c>
      <c r="E19" s="189" t="str">
        <f t="shared" si="3"/>
        <v>2022 Q1</v>
      </c>
    </row>
    <row r="20">
      <c r="A20" s="164" t="s">
        <v>190</v>
      </c>
      <c r="B20" s="165" t="s">
        <v>569</v>
      </c>
      <c r="C20" s="187">
        <f t="shared" si="1"/>
        <v>0.049331</v>
      </c>
      <c r="D20" s="188" t="str">
        <f t="shared" si="2"/>
        <v>31  mayo  2022</v>
      </c>
      <c r="E20" s="189" t="str">
        <f t="shared" si="3"/>
        <v>2022 Q1</v>
      </c>
    </row>
    <row r="21">
      <c r="A21" s="164" t="s">
        <v>196</v>
      </c>
      <c r="B21" s="165" t="s">
        <v>567</v>
      </c>
      <c r="C21" s="187">
        <f t="shared" si="1"/>
        <v>0.032887</v>
      </c>
      <c r="D21" s="188" t="str">
        <f t="shared" si="2"/>
        <v>29  abril  2022</v>
      </c>
      <c r="E21" s="189" t="str">
        <f t="shared" si="3"/>
        <v>2022 Q1</v>
      </c>
    </row>
    <row r="22">
      <c r="A22" s="164" t="s">
        <v>196</v>
      </c>
      <c r="B22" s="165" t="s">
        <v>569</v>
      </c>
      <c r="C22" s="187">
        <f t="shared" si="1"/>
        <v>0.049331</v>
      </c>
      <c r="D22" s="188" t="str">
        <f t="shared" si="2"/>
        <v>29  abril  2022</v>
      </c>
      <c r="E22" s="189" t="str">
        <f t="shared" si="3"/>
        <v>2022 Q1</v>
      </c>
    </row>
    <row r="23">
      <c r="A23" s="164" t="s">
        <v>198</v>
      </c>
      <c r="B23" s="165" t="s">
        <v>570</v>
      </c>
      <c r="C23" s="187">
        <f t="shared" si="1"/>
        <v>0.058318</v>
      </c>
      <c r="D23" s="188" t="str">
        <f t="shared" si="2"/>
        <v>11  marzo  2022</v>
      </c>
      <c r="E23" s="189" t="str">
        <f t="shared" si="3"/>
        <v>2021 Q4</v>
      </c>
    </row>
    <row r="24">
      <c r="A24" s="164" t="s">
        <v>198</v>
      </c>
      <c r="B24" s="165" t="s">
        <v>571</v>
      </c>
      <c r="C24" s="187">
        <f t="shared" si="1"/>
        <v>0.023026</v>
      </c>
      <c r="D24" s="188" t="str">
        <f t="shared" si="2"/>
        <v>11  marzo  2022</v>
      </c>
      <c r="E24" s="189" t="str">
        <f t="shared" si="3"/>
        <v>2021 Q4</v>
      </c>
    </row>
    <row r="25">
      <c r="A25" s="164" t="s">
        <v>572</v>
      </c>
      <c r="B25" s="165" t="s">
        <v>573</v>
      </c>
      <c r="C25" s="187">
        <f t="shared" si="1"/>
        <v>0.004874</v>
      </c>
      <c r="D25" s="188" t="str">
        <f t="shared" si="2"/>
        <v>28  febrero  2022</v>
      </c>
      <c r="E25" s="189" t="str">
        <f t="shared" si="3"/>
        <v>2021 Q4</v>
      </c>
    </row>
    <row r="26">
      <c r="A26" s="164" t="s">
        <v>572</v>
      </c>
      <c r="B26" s="165" t="s">
        <v>574</v>
      </c>
      <c r="C26" s="187">
        <f t="shared" si="1"/>
        <v>0.076471</v>
      </c>
      <c r="D26" s="188" t="str">
        <f t="shared" si="2"/>
        <v>28  febrero  2022</v>
      </c>
      <c r="E26" s="189" t="str">
        <f t="shared" si="3"/>
        <v>2021 Q4</v>
      </c>
    </row>
    <row r="27">
      <c r="A27" s="164" t="s">
        <v>575</v>
      </c>
      <c r="B27" s="165" t="s">
        <v>576</v>
      </c>
      <c r="C27" s="187">
        <f t="shared" si="1"/>
        <v>0.004885</v>
      </c>
      <c r="D27" s="188" t="str">
        <f t="shared" si="2"/>
        <v>31  enero  2022</v>
      </c>
      <c r="E27" s="189" t="str">
        <f t="shared" si="3"/>
        <v>2021 Q4</v>
      </c>
    </row>
    <row r="28">
      <c r="A28" s="164" t="s">
        <v>575</v>
      </c>
      <c r="B28" s="165" t="s">
        <v>577</v>
      </c>
      <c r="C28" s="187">
        <f t="shared" si="1"/>
        <v>0.076653</v>
      </c>
      <c r="D28" s="188" t="str">
        <f t="shared" si="2"/>
        <v>31  enero  2022</v>
      </c>
      <c r="E28" s="189" t="str">
        <f t="shared" si="3"/>
        <v>2021 Q4</v>
      </c>
    </row>
    <row r="29">
      <c r="A29" s="164" t="s">
        <v>578</v>
      </c>
      <c r="B29" s="165" t="s">
        <v>579</v>
      </c>
      <c r="C29" s="187">
        <f t="shared" si="1"/>
        <v>0.066863</v>
      </c>
      <c r="D29" s="188" t="str">
        <f t="shared" si="2"/>
        <v>31  diciembre  2021</v>
      </c>
      <c r="E29" s="189" t="str">
        <f t="shared" si="3"/>
        <v>2021 Q3</v>
      </c>
    </row>
    <row r="30">
      <c r="A30" s="164" t="s">
        <v>578</v>
      </c>
      <c r="B30" s="165" t="s">
        <v>580</v>
      </c>
      <c r="C30" s="187">
        <f t="shared" si="1"/>
        <v>0.007429</v>
      </c>
      <c r="D30" s="188" t="str">
        <f t="shared" si="2"/>
        <v>31  diciembre  2021</v>
      </c>
      <c r="E30" s="189" t="str">
        <f t="shared" si="3"/>
        <v>2021 Q3</v>
      </c>
    </row>
    <row r="31">
      <c r="A31" s="164" t="s">
        <v>581</v>
      </c>
      <c r="B31" s="165" t="s">
        <v>579</v>
      </c>
      <c r="C31" s="187">
        <f t="shared" si="1"/>
        <v>0.066863</v>
      </c>
      <c r="D31" s="188" t="str">
        <f t="shared" si="2"/>
        <v>30  noviembre  2021</v>
      </c>
      <c r="E31" s="189" t="str">
        <f t="shared" si="3"/>
        <v>2021 Q3</v>
      </c>
    </row>
    <row r="32">
      <c r="A32" s="164" t="s">
        <v>581</v>
      </c>
      <c r="B32" s="165" t="s">
        <v>580</v>
      </c>
      <c r="C32" s="187">
        <f t="shared" si="1"/>
        <v>0.007429</v>
      </c>
      <c r="D32" s="188" t="str">
        <f t="shared" si="2"/>
        <v>30  noviembre  2021</v>
      </c>
      <c r="E32" s="189" t="str">
        <f t="shared" si="3"/>
        <v>2021 Q3</v>
      </c>
    </row>
    <row r="33">
      <c r="A33" s="164" t="s">
        <v>210</v>
      </c>
      <c r="B33" s="165" t="s">
        <v>582</v>
      </c>
      <c r="C33" s="187">
        <f t="shared" si="1"/>
        <v>0.066867</v>
      </c>
      <c r="D33" s="188" t="str">
        <f t="shared" si="2"/>
        <v>29  octubre  2021</v>
      </c>
      <c r="E33" s="189" t="str">
        <f t="shared" si="3"/>
        <v>2021 Q3</v>
      </c>
    </row>
    <row r="34">
      <c r="A34" s="164" t="s">
        <v>210</v>
      </c>
      <c r="B34" s="165" t="s">
        <v>583</v>
      </c>
      <c r="C34" s="187">
        <f t="shared" si="1"/>
        <v>0.00743</v>
      </c>
      <c r="D34" s="188" t="str">
        <f t="shared" si="2"/>
        <v>29  octubre  2021</v>
      </c>
      <c r="E34" s="189" t="str">
        <f t="shared" si="3"/>
        <v>2021 Q3</v>
      </c>
    </row>
    <row r="35">
      <c r="A35" s="164" t="s">
        <v>211</v>
      </c>
      <c r="B35" s="165" t="s">
        <v>584</v>
      </c>
      <c r="C35" s="187">
        <f t="shared" si="1"/>
        <v>0.073101</v>
      </c>
      <c r="D35" s="188" t="str">
        <f t="shared" si="2"/>
        <v>30  septiembre  2021</v>
      </c>
      <c r="E35" s="189" t="str">
        <f t="shared" si="3"/>
        <v>2021 Q2</v>
      </c>
    </row>
    <row r="36">
      <c r="A36" s="164" t="s">
        <v>585</v>
      </c>
      <c r="B36" s="165" t="s">
        <v>584</v>
      </c>
      <c r="C36" s="187">
        <f t="shared" si="1"/>
        <v>0.073101</v>
      </c>
      <c r="D36" s="188" t="str">
        <f t="shared" si="2"/>
        <v>31  agosto  2021</v>
      </c>
      <c r="E36" s="189" t="str">
        <f t="shared" si="3"/>
        <v>2021 Q2</v>
      </c>
    </row>
    <row r="37">
      <c r="A37" s="164" t="s">
        <v>217</v>
      </c>
      <c r="B37" s="165" t="s">
        <v>584</v>
      </c>
      <c r="C37" s="187">
        <f t="shared" si="1"/>
        <v>0.073101</v>
      </c>
      <c r="D37" s="188" t="str">
        <f t="shared" si="2"/>
        <v>30  julio  2021</v>
      </c>
      <c r="E37" s="189" t="str">
        <f t="shared" si="3"/>
        <v>2021 Q2</v>
      </c>
    </row>
    <row r="38">
      <c r="A38" s="164" t="s">
        <v>586</v>
      </c>
      <c r="B38" s="165" t="s">
        <v>587</v>
      </c>
      <c r="C38" s="187">
        <f t="shared" si="1"/>
        <v>0.069473</v>
      </c>
      <c r="D38" s="188" t="str">
        <f t="shared" si="2"/>
        <v>30  junio  2021</v>
      </c>
      <c r="E38" s="189" t="str">
        <f t="shared" si="3"/>
        <v>2021 Q1</v>
      </c>
    </row>
    <row r="39">
      <c r="A39" s="164" t="s">
        <v>588</v>
      </c>
      <c r="B39" s="165" t="s">
        <v>587</v>
      </c>
      <c r="C39" s="187">
        <f t="shared" si="1"/>
        <v>0.069473</v>
      </c>
      <c r="D39" s="188" t="str">
        <f t="shared" si="2"/>
        <v>31  mayo  2021</v>
      </c>
      <c r="E39" s="189" t="str">
        <f t="shared" si="3"/>
        <v>2021 Q1</v>
      </c>
    </row>
    <row r="40">
      <c r="A40" s="164" t="s">
        <v>589</v>
      </c>
      <c r="B40" s="165" t="s">
        <v>587</v>
      </c>
      <c r="C40" s="187">
        <f t="shared" si="1"/>
        <v>0.069473</v>
      </c>
      <c r="D40" s="188" t="str">
        <f t="shared" si="2"/>
        <v>30  abril  2021</v>
      </c>
      <c r="E40" s="189" t="str">
        <f t="shared" si="3"/>
        <v>2021 Q1</v>
      </c>
    </row>
    <row r="41">
      <c r="A41" s="164" t="s">
        <v>450</v>
      </c>
      <c r="B41" s="165" t="s">
        <v>590</v>
      </c>
      <c r="C41" s="187">
        <f t="shared" si="1"/>
        <v>0.0103</v>
      </c>
      <c r="D41" s="188" t="str">
        <f t="shared" si="2"/>
        <v>12  marzo  2021</v>
      </c>
      <c r="E41" s="189" t="str">
        <f t="shared" si="3"/>
        <v>2020 Q4</v>
      </c>
    </row>
    <row r="42">
      <c r="A42" s="164" t="s">
        <v>450</v>
      </c>
      <c r="B42" s="165" t="s">
        <v>591</v>
      </c>
      <c r="C42" s="187">
        <f t="shared" si="1"/>
        <v>0.073266</v>
      </c>
      <c r="D42" s="188" t="str">
        <f t="shared" si="2"/>
        <v>12  marzo  2021</v>
      </c>
      <c r="E42" s="189" t="str">
        <f t="shared" si="3"/>
        <v>2020 Q4</v>
      </c>
    </row>
    <row r="43">
      <c r="A43" s="164" t="s">
        <v>592</v>
      </c>
      <c r="B43" s="165" t="s">
        <v>593</v>
      </c>
      <c r="C43" s="187">
        <f t="shared" si="1"/>
        <v>0.083566</v>
      </c>
      <c r="D43" s="188" t="str">
        <f t="shared" si="2"/>
        <v>26  febrero  2021</v>
      </c>
      <c r="E43" s="189" t="str">
        <f t="shared" si="3"/>
        <v>2020 Q4</v>
      </c>
    </row>
    <row r="44">
      <c r="A44" s="164" t="s">
        <v>231</v>
      </c>
      <c r="B44" s="165" t="s">
        <v>594</v>
      </c>
      <c r="C44" s="187">
        <f t="shared" si="1"/>
        <v>0.083756</v>
      </c>
      <c r="D44" s="188" t="str">
        <f t="shared" si="2"/>
        <v>29  enero  2021</v>
      </c>
      <c r="E44" s="189" t="str">
        <f t="shared" si="3"/>
        <v>2020 Q4</v>
      </c>
    </row>
    <row r="45">
      <c r="A45" s="164" t="s">
        <v>595</v>
      </c>
      <c r="B45" s="165" t="s">
        <v>596</v>
      </c>
      <c r="C45" s="187">
        <f t="shared" si="1"/>
        <v>0.089052</v>
      </c>
      <c r="D45" s="188" t="str">
        <f t="shared" si="2"/>
        <v>31  diciembre  2020</v>
      </c>
      <c r="E45" s="189" t="str">
        <f t="shared" si="3"/>
        <v>2020 Q3</v>
      </c>
    </row>
    <row r="46">
      <c r="A46" s="164" t="s">
        <v>597</v>
      </c>
      <c r="B46" s="165" t="s">
        <v>598</v>
      </c>
      <c r="C46" s="187">
        <f t="shared" si="1"/>
        <v>0.089048</v>
      </c>
      <c r="D46" s="188" t="str">
        <f t="shared" si="2"/>
        <v>30  noviembre  2020</v>
      </c>
      <c r="E46" s="189" t="str">
        <f t="shared" si="3"/>
        <v>2020 Q3</v>
      </c>
    </row>
    <row r="47">
      <c r="A47" s="164" t="s">
        <v>599</v>
      </c>
      <c r="B47" s="165" t="s">
        <v>600</v>
      </c>
      <c r="C47" s="187">
        <f t="shared" si="1"/>
        <v>0.089207</v>
      </c>
      <c r="D47" s="188" t="str">
        <f t="shared" si="2"/>
        <v>30  octubre  2020</v>
      </c>
      <c r="E47" s="189" t="str">
        <f t="shared" si="3"/>
        <v>2020 Q3</v>
      </c>
    </row>
    <row r="48">
      <c r="A48" s="164" t="s">
        <v>601</v>
      </c>
      <c r="B48" s="165" t="s">
        <v>602</v>
      </c>
      <c r="C48" s="187">
        <f t="shared" si="1"/>
        <v>0.089696</v>
      </c>
      <c r="D48" s="188" t="str">
        <f t="shared" si="2"/>
        <v>30  septiembre  2020</v>
      </c>
      <c r="E48" s="189" t="str">
        <f t="shared" si="3"/>
        <v>2020 Q2</v>
      </c>
    </row>
    <row r="49">
      <c r="A49" s="164" t="s">
        <v>603</v>
      </c>
      <c r="B49" s="165" t="s">
        <v>602</v>
      </c>
      <c r="C49" s="187">
        <f t="shared" si="1"/>
        <v>0.089696</v>
      </c>
      <c r="D49" s="188" t="str">
        <f t="shared" si="2"/>
        <v>31  agosto  2020</v>
      </c>
      <c r="E49" s="189" t="str">
        <f t="shared" si="3"/>
        <v>2020 Q2</v>
      </c>
    </row>
    <row r="50">
      <c r="A50" s="164" t="s">
        <v>604</v>
      </c>
      <c r="B50" s="165" t="s">
        <v>605</v>
      </c>
      <c r="C50" s="187">
        <f t="shared" si="1"/>
        <v>0.090077</v>
      </c>
      <c r="D50" s="188" t="str">
        <f t="shared" si="2"/>
        <v>31  julio  2020</v>
      </c>
      <c r="E50" s="189" t="str">
        <f t="shared" si="3"/>
        <v>2020 Q2</v>
      </c>
    </row>
    <row r="51">
      <c r="A51" s="164" t="s">
        <v>606</v>
      </c>
      <c r="B51" s="165" t="s">
        <v>607</v>
      </c>
      <c r="C51" s="187">
        <f t="shared" si="1"/>
        <v>0.08708</v>
      </c>
      <c r="D51" s="188" t="str">
        <f t="shared" si="2"/>
        <v>30  junio  2020</v>
      </c>
      <c r="E51" s="189" t="str">
        <f t="shared" si="3"/>
        <v>2020 Q1</v>
      </c>
    </row>
    <row r="52">
      <c r="A52" s="164" t="s">
        <v>608</v>
      </c>
      <c r="B52" s="165" t="s">
        <v>609</v>
      </c>
      <c r="C52" s="187">
        <f t="shared" si="1"/>
        <v>0.087077</v>
      </c>
      <c r="D52" s="188" t="str">
        <f t="shared" si="2"/>
        <v>29  mayo  2020</v>
      </c>
      <c r="E52" s="189" t="str">
        <f t="shared" si="3"/>
        <v>2020 Q1</v>
      </c>
    </row>
    <row r="53">
      <c r="A53" s="164" t="s">
        <v>610</v>
      </c>
      <c r="B53" s="165" t="s">
        <v>611</v>
      </c>
      <c r="C53" s="187">
        <f t="shared" si="1"/>
        <v>0.087089</v>
      </c>
      <c r="D53" s="188" t="str">
        <f t="shared" si="2"/>
        <v>30  abril  2020</v>
      </c>
      <c r="E53" s="189" t="str">
        <f t="shared" si="3"/>
        <v>2020 Q1</v>
      </c>
    </row>
    <row r="54">
      <c r="A54" s="164" t="s">
        <v>612</v>
      </c>
      <c r="B54" s="165" t="s">
        <v>613</v>
      </c>
      <c r="C54" s="187">
        <f t="shared" si="1"/>
        <v>0.009146</v>
      </c>
      <c r="D54" s="188" t="str">
        <f t="shared" si="2"/>
        <v>25  febrero  2020</v>
      </c>
      <c r="E54" s="189" t="str">
        <f t="shared" si="3"/>
        <v>2019 Q4</v>
      </c>
    </row>
    <row r="55">
      <c r="A55" s="164" t="s">
        <v>612</v>
      </c>
      <c r="B55" s="165" t="s">
        <v>614</v>
      </c>
      <c r="C55" s="187">
        <f t="shared" si="1"/>
        <v>0.163684</v>
      </c>
      <c r="D55" s="188" t="str">
        <f t="shared" si="2"/>
        <v>25  febrero  2020</v>
      </c>
      <c r="E55" s="189" t="str">
        <f t="shared" si="3"/>
        <v>2019 Q4</v>
      </c>
    </row>
    <row r="56">
      <c r="A56" s="164" t="s">
        <v>615</v>
      </c>
      <c r="B56" s="165" t="s">
        <v>616</v>
      </c>
      <c r="C56" s="187">
        <f t="shared" si="1"/>
        <v>0.07581</v>
      </c>
      <c r="D56" s="188" t="str">
        <f t="shared" si="2"/>
        <v>24  octubre  2019</v>
      </c>
      <c r="E56" s="189" t="str">
        <f t="shared" si="3"/>
        <v>2019 Q3</v>
      </c>
    </row>
    <row r="57">
      <c r="A57" s="164" t="s">
        <v>615</v>
      </c>
      <c r="B57" s="165" t="s">
        <v>617</v>
      </c>
      <c r="C57" s="187">
        <f t="shared" si="1"/>
        <v>0.018953</v>
      </c>
      <c r="D57" s="188" t="str">
        <f t="shared" si="2"/>
        <v>24  octubre  2019</v>
      </c>
      <c r="E57" s="189" t="str">
        <f t="shared" si="3"/>
        <v>2019 Q3</v>
      </c>
    </row>
    <row r="58">
      <c r="A58" s="164" t="s">
        <v>618</v>
      </c>
      <c r="B58" s="165" t="s">
        <v>619</v>
      </c>
      <c r="C58" s="187">
        <f t="shared" si="1"/>
        <v>0.234194</v>
      </c>
      <c r="D58" s="188" t="str">
        <f t="shared" si="2"/>
        <v>11  octubre  2019</v>
      </c>
      <c r="E58" s="189" t="str">
        <f t="shared" si="3"/>
        <v>2019 Q3</v>
      </c>
    </row>
    <row r="59">
      <c r="A59" s="164" t="s">
        <v>618</v>
      </c>
      <c r="B59" s="165" t="s">
        <v>620</v>
      </c>
      <c r="C59" s="187">
        <f t="shared" si="1"/>
        <v>0.058549</v>
      </c>
      <c r="D59" s="188" t="str">
        <f t="shared" si="2"/>
        <v>11  octubre  2019</v>
      </c>
      <c r="E59" s="189" t="str">
        <f t="shared" si="3"/>
        <v>2019 Q3</v>
      </c>
    </row>
    <row r="60">
      <c r="A60" s="164" t="s">
        <v>621</v>
      </c>
      <c r="B60" s="165" t="s">
        <v>622</v>
      </c>
      <c r="C60" s="187">
        <f t="shared" si="1"/>
        <v>0.291865</v>
      </c>
      <c r="D60" s="188" t="str">
        <f t="shared" si="2"/>
        <v>26  julio  2019</v>
      </c>
      <c r="E60" s="189" t="str">
        <f t="shared" si="3"/>
        <v>2019 Q2</v>
      </c>
    </row>
    <row r="61">
      <c r="A61" s="164" t="s">
        <v>623</v>
      </c>
      <c r="B61" s="165" t="s">
        <v>624</v>
      </c>
      <c r="C61" s="187">
        <f t="shared" si="1"/>
        <v>0.265893</v>
      </c>
      <c r="D61" s="188" t="str">
        <f t="shared" si="2"/>
        <v>26  abril  2019</v>
      </c>
      <c r="E61" s="189" t="str">
        <f t="shared" si="3"/>
        <v>2019 Q1</v>
      </c>
    </row>
    <row r="62">
      <c r="A62" s="164" t="s">
        <v>625</v>
      </c>
      <c r="B62" s="165" t="s">
        <v>626</v>
      </c>
      <c r="C62" s="187">
        <f t="shared" si="1"/>
        <v>0.169474</v>
      </c>
      <c r="D62" s="188" t="str">
        <f t="shared" si="2"/>
        <v>22  febrero  2019</v>
      </c>
      <c r="E62" s="189" t="str">
        <f t="shared" si="3"/>
        <v>2018 Q4</v>
      </c>
    </row>
    <row r="63">
      <c r="A63" s="164" t="s">
        <v>627</v>
      </c>
      <c r="B63" s="165" t="s">
        <v>628</v>
      </c>
      <c r="C63" s="187">
        <f t="shared" si="1"/>
        <v>0.128423</v>
      </c>
      <c r="D63" s="188" t="str">
        <f t="shared" si="2"/>
        <v>26  octubre  2018</v>
      </c>
      <c r="E63" s="189" t="str">
        <f t="shared" si="3"/>
        <v>2018 Q3</v>
      </c>
    </row>
    <row r="64">
      <c r="A64" s="164" t="s">
        <v>627</v>
      </c>
      <c r="B64" s="165" t="s">
        <v>629</v>
      </c>
      <c r="C64" s="187">
        <f t="shared" si="1"/>
        <v>0.2385</v>
      </c>
      <c r="D64" s="188" t="str">
        <f t="shared" si="2"/>
        <v>26  octubre  2018</v>
      </c>
      <c r="E64" s="189" t="str">
        <f t="shared" si="3"/>
        <v>2018 Q3</v>
      </c>
    </row>
    <row r="65">
      <c r="A65" s="164" t="s">
        <v>630</v>
      </c>
      <c r="B65" s="165" t="s">
        <v>631</v>
      </c>
      <c r="C65" s="187">
        <f t="shared" si="1"/>
        <v>0.100083</v>
      </c>
      <c r="D65" s="188" t="str">
        <f t="shared" si="2"/>
        <v>26  julio  2018</v>
      </c>
      <c r="E65" s="189" t="str">
        <f t="shared" si="3"/>
        <v>2018 Q2</v>
      </c>
    </row>
    <row r="66">
      <c r="A66" s="164" t="s">
        <v>632</v>
      </c>
      <c r="B66" s="165" t="s">
        <v>633</v>
      </c>
      <c r="C66" s="187">
        <f t="shared" si="1"/>
        <v>0.129585</v>
      </c>
      <c r="D66" s="188" t="str">
        <f t="shared" si="2"/>
        <v>11  mayo  2018</v>
      </c>
      <c r="E66" s="189" t="str">
        <f t="shared" si="3"/>
        <v>2018 Q1</v>
      </c>
    </row>
    <row r="67">
      <c r="A67" s="164" t="s">
        <v>632</v>
      </c>
      <c r="B67" s="165" t="s">
        <v>634</v>
      </c>
      <c r="C67" s="187">
        <f t="shared" si="1"/>
        <v>0.302365</v>
      </c>
      <c r="D67" s="188" t="str">
        <f t="shared" si="2"/>
        <v>11  mayo  2018</v>
      </c>
      <c r="E67" s="189" t="str">
        <f t="shared" si="3"/>
        <v>2018 Q1</v>
      </c>
    </row>
    <row r="68">
      <c r="A68" s="164" t="s">
        <v>635</v>
      </c>
      <c r="B68" s="165" t="s">
        <v>636</v>
      </c>
      <c r="C68" s="187">
        <f t="shared" si="1"/>
        <v>0.259865</v>
      </c>
      <c r="D68" s="188" t="str">
        <f t="shared" si="2"/>
        <v>28  febrero  2018</v>
      </c>
      <c r="E68" s="189" t="str">
        <f t="shared" si="3"/>
        <v>2017 Q4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17.14"/>
    <col customWidth="1" min="4" max="26" width="10.71"/>
  </cols>
  <sheetData>
    <row r="1" ht="13.5" customHeight="1">
      <c r="A1" s="159" t="s">
        <v>510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  <c r="G1" s="159" t="s">
        <v>361</v>
      </c>
      <c r="H1" s="159" t="s">
        <v>362</v>
      </c>
      <c r="I1" s="159" t="s">
        <v>363</v>
      </c>
      <c r="J1" s="159" t="s">
        <v>364</v>
      </c>
      <c r="K1" s="159" t="s">
        <v>365</v>
      </c>
      <c r="L1" s="159" t="s">
        <v>366</v>
      </c>
      <c r="M1" s="159" t="s">
        <v>367</v>
      </c>
      <c r="N1" s="159" t="s">
        <v>368</v>
      </c>
      <c r="O1" s="159" t="s">
        <v>369</v>
      </c>
      <c r="P1" s="159" t="s">
        <v>370</v>
      </c>
      <c r="Q1" s="159" t="s">
        <v>371</v>
      </c>
      <c r="R1" s="159" t="s">
        <v>372</v>
      </c>
    </row>
    <row r="2" ht="13.5" customHeight="1">
      <c r="A2" s="160" t="s">
        <v>428</v>
      </c>
      <c r="B2" s="167">
        <v>1.401661E9</v>
      </c>
      <c r="C2" s="167">
        <v>1.393143E9</v>
      </c>
      <c r="D2" s="167">
        <v>1.385749E9</v>
      </c>
      <c r="E2" s="167">
        <v>1.348415E9</v>
      </c>
      <c r="F2" s="167">
        <v>1.371613E9</v>
      </c>
      <c r="G2" s="167">
        <v>1.266203E9</v>
      </c>
      <c r="H2" s="167">
        <v>1.207757E9</v>
      </c>
      <c r="I2" s="167">
        <v>1.187223E9</v>
      </c>
      <c r="J2" s="167">
        <v>1.198093E9</v>
      </c>
      <c r="K2" s="167">
        <v>1.207276E9</v>
      </c>
      <c r="L2" s="167">
        <v>1.099178E9</v>
      </c>
      <c r="M2" s="167">
        <v>1.096055E9</v>
      </c>
      <c r="N2" s="167">
        <v>8.48876E8</v>
      </c>
      <c r="O2" s="167">
        <v>8.41959E8</v>
      </c>
      <c r="P2" s="167">
        <v>8.38379E8</v>
      </c>
      <c r="Q2" s="167">
        <v>8.31282E8</v>
      </c>
      <c r="R2" s="167">
        <v>8.71486E8</v>
      </c>
    </row>
    <row r="3" ht="13.5" customHeight="1">
      <c r="A3" s="160" t="s">
        <v>429</v>
      </c>
      <c r="B3" s="167">
        <v>1.421097E9</v>
      </c>
      <c r="C3" s="167">
        <v>1.409563E9</v>
      </c>
      <c r="D3" s="167">
        <v>1.396908E9</v>
      </c>
      <c r="E3" s="167">
        <v>1.350328E9</v>
      </c>
      <c r="F3" s="167">
        <v>1.38622E9</v>
      </c>
      <c r="G3" s="167">
        <v>1.273805E9</v>
      </c>
      <c r="H3" s="167">
        <v>1.221182E9</v>
      </c>
      <c r="I3" s="167">
        <v>1.20288E9</v>
      </c>
      <c r="J3" s="167">
        <v>1.20855E9</v>
      </c>
      <c r="K3" s="167">
        <v>1.223651E9</v>
      </c>
      <c r="L3" s="167">
        <v>1.236406E9</v>
      </c>
      <c r="M3" s="167">
        <v>1.223139E9</v>
      </c>
      <c r="N3" s="167">
        <v>9.78626E8</v>
      </c>
      <c r="O3" s="167">
        <v>9.50553E8</v>
      </c>
      <c r="P3" s="167">
        <v>9.43481E8</v>
      </c>
      <c r="Q3" s="167">
        <v>9.38813E8</v>
      </c>
      <c r="R3" s="167">
        <v>9.91918E8</v>
      </c>
    </row>
    <row r="4" ht="13.5" customHeight="1">
      <c r="A4" s="160" t="s">
        <v>430</v>
      </c>
      <c r="B4" s="167">
        <v>1.230281E9</v>
      </c>
      <c r="C4" s="167">
        <v>1.209516E9</v>
      </c>
      <c r="D4" s="167">
        <v>1.215033E9</v>
      </c>
      <c r="E4" s="167">
        <v>1.173884E9</v>
      </c>
      <c r="F4" s="167">
        <v>1.219446E9</v>
      </c>
      <c r="G4" s="167">
        <v>1.103701E9</v>
      </c>
      <c r="H4" s="167">
        <v>1.057149E9</v>
      </c>
      <c r="I4" s="167">
        <v>1.038743E9</v>
      </c>
      <c r="J4" s="167">
        <v>1.063945E9</v>
      </c>
      <c r="K4" s="167">
        <v>1.066494E9</v>
      </c>
      <c r="L4" s="167">
        <v>1.089151E9</v>
      </c>
      <c r="M4" s="167">
        <v>1.065795E9</v>
      </c>
      <c r="N4" s="167">
        <v>8.37013E8</v>
      </c>
      <c r="O4" s="167">
        <v>8.31042E8</v>
      </c>
      <c r="P4" s="167">
        <v>7.91108E8</v>
      </c>
      <c r="Q4" s="167">
        <v>8.17517E8</v>
      </c>
      <c r="R4" s="167">
        <v>8.61501E8</v>
      </c>
    </row>
    <row r="5" ht="13.5" customHeight="1">
      <c r="A5" s="160" t="s">
        <v>431</v>
      </c>
      <c r="B5" s="169">
        <v>0.8657</v>
      </c>
      <c r="C5" s="169">
        <v>0.8581</v>
      </c>
      <c r="D5" s="169">
        <v>0.8698</v>
      </c>
      <c r="E5" s="169">
        <v>0.8693</v>
      </c>
      <c r="F5" s="169">
        <v>0.8797</v>
      </c>
      <c r="G5" s="169">
        <v>0.8665</v>
      </c>
      <c r="H5" s="169">
        <v>0.8657</v>
      </c>
      <c r="I5" s="169">
        <v>0.8635</v>
      </c>
      <c r="J5" s="169">
        <v>0.8803</v>
      </c>
      <c r="K5" s="169">
        <v>0.8716</v>
      </c>
      <c r="L5" s="169">
        <v>0.8809</v>
      </c>
      <c r="M5" s="169">
        <v>0.8714</v>
      </c>
      <c r="N5" s="169">
        <v>0.8553</v>
      </c>
      <c r="O5" s="169">
        <v>0.8743</v>
      </c>
      <c r="P5" s="169">
        <v>0.8385</v>
      </c>
      <c r="Q5" s="169">
        <v>0.8708</v>
      </c>
      <c r="R5" s="169">
        <v>0.8685</v>
      </c>
    </row>
    <row r="6" ht="13.5" customHeight="1">
      <c r="A6" s="160" t="s">
        <v>432</v>
      </c>
      <c r="B6" s="167">
        <v>9.2749E8</v>
      </c>
      <c r="C6" s="167">
        <v>8.23843E8</v>
      </c>
      <c r="D6" s="167">
        <v>8.19404E8</v>
      </c>
      <c r="E6" s="167">
        <v>7.6169214E8</v>
      </c>
      <c r="F6" s="167">
        <v>8.26998E8</v>
      </c>
      <c r="G6" s="167">
        <v>7.43988E8</v>
      </c>
      <c r="H6" s="167">
        <v>7.26273E8</v>
      </c>
      <c r="I6" s="167">
        <v>7.32438E8</v>
      </c>
      <c r="J6" s="167">
        <v>7.37189E8</v>
      </c>
      <c r="K6" s="167">
        <v>6.93313E8</v>
      </c>
      <c r="L6" s="167">
        <v>8.23584E8</v>
      </c>
      <c r="M6" s="167">
        <v>7.75408E8</v>
      </c>
      <c r="N6" s="167">
        <v>6.1014E8</v>
      </c>
      <c r="O6" s="167">
        <v>4.84622E8</v>
      </c>
      <c r="P6" s="167">
        <v>5.02518E8</v>
      </c>
      <c r="Q6" s="167">
        <v>3.64053E8</v>
      </c>
      <c r="R6" s="167">
        <v>5.61989E8</v>
      </c>
    </row>
    <row r="7" ht="13.5" customHeight="1">
      <c r="A7" s="160" t="s">
        <v>433</v>
      </c>
      <c r="B7" s="169">
        <v>0.6527</v>
      </c>
      <c r="C7" s="169">
        <v>0.5845</v>
      </c>
      <c r="D7" s="169">
        <v>0.5866</v>
      </c>
      <c r="E7" s="169">
        <v>0.5641</v>
      </c>
      <c r="F7" s="169">
        <v>0.5966</v>
      </c>
      <c r="G7" s="169">
        <v>0.5841</v>
      </c>
      <c r="H7" s="169">
        <v>0.5947</v>
      </c>
      <c r="I7" s="169">
        <v>0.6089</v>
      </c>
      <c r="J7" s="169">
        <v>0.61</v>
      </c>
      <c r="K7" s="169">
        <v>0.5666</v>
      </c>
      <c r="L7" s="169">
        <v>0.6661</v>
      </c>
      <c r="M7" s="169">
        <v>0.6454</v>
      </c>
      <c r="N7" s="169">
        <v>0.6235</v>
      </c>
      <c r="O7" s="169">
        <v>0.5098</v>
      </c>
      <c r="P7" s="169">
        <v>0.5326</v>
      </c>
      <c r="Q7" s="169">
        <v>0.3878</v>
      </c>
      <c r="R7" s="169">
        <v>0.5666</v>
      </c>
    </row>
    <row r="8" ht="13.5" customHeight="1">
      <c r="A8" s="160" t="s">
        <v>434</v>
      </c>
      <c r="B8" s="161">
        <v>0.91</v>
      </c>
      <c r="C8" s="161">
        <v>0.81</v>
      </c>
      <c r="D8" s="161">
        <v>0.96</v>
      </c>
      <c r="E8" s="161">
        <v>0.89</v>
      </c>
      <c r="F8" s="161">
        <v>0.97</v>
      </c>
      <c r="G8" s="161">
        <v>0.87</v>
      </c>
      <c r="H8" s="161">
        <v>0.86</v>
      </c>
      <c r="I8" s="161">
        <v>0.86</v>
      </c>
      <c r="J8" s="161">
        <v>0.87</v>
      </c>
      <c r="K8" s="161">
        <v>0.82</v>
      </c>
      <c r="L8" s="161">
        <v>0.97</v>
      </c>
      <c r="M8" s="161">
        <v>0.93</v>
      </c>
      <c r="N8" s="161">
        <v>0.72</v>
      </c>
      <c r="O8" s="161">
        <v>0.75</v>
      </c>
      <c r="P8" s="161">
        <v>0.78</v>
      </c>
      <c r="Q8" s="161">
        <v>0.56</v>
      </c>
      <c r="R8" s="161">
        <v>0.87</v>
      </c>
    </row>
    <row r="9" ht="13.5" customHeight="1">
      <c r="A9" s="160" t="s">
        <v>435</v>
      </c>
      <c r="B9" s="167"/>
      <c r="C9" s="167"/>
      <c r="D9" s="161">
        <v>4.702599458E8</v>
      </c>
      <c r="E9" s="161">
        <v>5.2772569405E8</v>
      </c>
      <c r="F9" s="161">
        <v>5.1119679776E8</v>
      </c>
      <c r="G9" s="161">
        <v>4.6957481021E8</v>
      </c>
      <c r="H9" s="161">
        <v>4.6560841733E8</v>
      </c>
      <c r="I9" s="161">
        <v>4.5762607349E8</v>
      </c>
      <c r="J9" s="161">
        <v>3.7550983429E8</v>
      </c>
      <c r="K9" s="161">
        <v>3.637910742E8</v>
      </c>
      <c r="L9" s="161">
        <v>3.637910742E8</v>
      </c>
      <c r="M9" s="161">
        <v>3.8366201523E8</v>
      </c>
      <c r="N9" s="161">
        <v>1.073880001E9</v>
      </c>
      <c r="O9" s="161">
        <v>3.8749883331E8</v>
      </c>
      <c r="P9" s="161">
        <v>3.8003521807E8</v>
      </c>
      <c r="Q9" s="161">
        <v>3.773920554E8</v>
      </c>
      <c r="R9" s="161">
        <v>3.8448346744E8</v>
      </c>
    </row>
    <row r="10" ht="13.5" customHeight="1">
      <c r="A10" s="160" t="s">
        <v>154</v>
      </c>
      <c r="B10" s="161">
        <v>0.85</v>
      </c>
      <c r="C10" s="161">
        <v>0.6</v>
      </c>
      <c r="D10" s="161">
        <v>0.55</v>
      </c>
      <c r="E10" s="161">
        <v>0.62</v>
      </c>
      <c r="F10" s="161">
        <v>0.6</v>
      </c>
      <c r="G10" s="161">
        <v>0.55</v>
      </c>
      <c r="H10" s="161">
        <v>0.55</v>
      </c>
      <c r="I10" s="161">
        <v>0.54</v>
      </c>
      <c r="J10" s="161">
        <v>0.44</v>
      </c>
      <c r="K10" s="161">
        <v>0.43</v>
      </c>
      <c r="L10" s="161">
        <v>0.43</v>
      </c>
      <c r="M10" s="161">
        <v>0.45</v>
      </c>
      <c r="N10" s="161">
        <v>1.26</v>
      </c>
      <c r="O10" s="161">
        <v>0.6</v>
      </c>
      <c r="P10" s="161">
        <v>0.59</v>
      </c>
      <c r="Q10" s="161">
        <v>0.59</v>
      </c>
      <c r="R10" s="161">
        <v>0.6</v>
      </c>
    </row>
    <row r="11" ht="13.5" customHeight="1">
      <c r="A11" s="160" t="s">
        <v>436</v>
      </c>
      <c r="B11" s="171">
        <v>1.021869492E9</v>
      </c>
      <c r="C11" s="171">
        <v>1.021869492E9</v>
      </c>
      <c r="D11" s="171">
        <v>8.56419497E8</v>
      </c>
      <c r="E11" s="171">
        <v>8.56419497E8</v>
      </c>
      <c r="F11" s="171">
        <v>8.56419497E8</v>
      </c>
      <c r="G11" s="171">
        <v>8.56419497E8</v>
      </c>
      <c r="H11" s="171">
        <v>8.49185514E8</v>
      </c>
      <c r="I11" s="171">
        <v>8.49185514E8</v>
      </c>
      <c r="J11" s="171">
        <v>8.49185514E8</v>
      </c>
      <c r="K11" s="171">
        <v>8.49185514E8</v>
      </c>
      <c r="L11" s="171">
        <v>8.49185514E8</v>
      </c>
      <c r="M11" s="171">
        <v>8.49185514E8</v>
      </c>
      <c r="N11" s="171">
        <v>8.49185514E8</v>
      </c>
      <c r="O11" s="171">
        <v>6.49185514E8</v>
      </c>
      <c r="P11" s="171">
        <v>6.44673822E8</v>
      </c>
      <c r="Q11" s="171">
        <v>6.44673822E8</v>
      </c>
      <c r="R11" s="171">
        <v>6.44673822E8</v>
      </c>
    </row>
    <row r="12" ht="13.5" customHeight="1">
      <c r="A12" s="172" t="s">
        <v>382</v>
      </c>
      <c r="B12" s="173">
        <v>0.0707</v>
      </c>
      <c r="C12" s="173">
        <v>0.0647</v>
      </c>
      <c r="D12" s="173">
        <v>0.0633</v>
      </c>
      <c r="E12" s="173"/>
      <c r="F12" s="173"/>
      <c r="G12" s="173"/>
      <c r="H12" s="173"/>
      <c r="I12" s="173"/>
    </row>
    <row r="13" ht="13.5" customHeight="1">
      <c r="A13" s="179" t="s">
        <v>383</v>
      </c>
      <c r="B13" s="196">
        <v>6.648282914952E10</v>
      </c>
      <c r="C13" s="176">
        <v>5.452620185394E10</v>
      </c>
      <c r="D13" s="176">
        <v>4.886729649882E10</v>
      </c>
      <c r="E13" s="176"/>
      <c r="F13" s="176"/>
      <c r="G13" s="176"/>
      <c r="H13" s="176"/>
      <c r="I13" s="176"/>
    </row>
    <row r="14" ht="13.5" customHeight="1">
      <c r="A14" s="179" t="s">
        <v>438</v>
      </c>
      <c r="B14" s="173">
        <v>0.1936</v>
      </c>
      <c r="C14" s="173">
        <v>0.1262</v>
      </c>
      <c r="D14" s="173">
        <v>-0.1037</v>
      </c>
      <c r="E14" s="173"/>
      <c r="F14" s="173"/>
      <c r="G14" s="173"/>
      <c r="H14" s="173"/>
      <c r="I14" s="173"/>
    </row>
    <row r="15" ht="13.5" customHeight="1">
      <c r="A15" s="179" t="s">
        <v>439</v>
      </c>
      <c r="B15" s="173">
        <v>0.2278</v>
      </c>
      <c r="C15" s="173">
        <v>0.2265</v>
      </c>
      <c r="D15" s="173">
        <v>0.2692</v>
      </c>
      <c r="F15" s="173"/>
      <c r="G15" s="173"/>
      <c r="H15" s="173"/>
      <c r="I15" s="173"/>
    </row>
    <row r="16" ht="13.5" customHeight="1">
      <c r="A16" s="179" t="s">
        <v>440</v>
      </c>
      <c r="B16" s="173">
        <v>0.035</v>
      </c>
      <c r="C16" s="173">
        <v>0.0342</v>
      </c>
      <c r="D16" s="173">
        <v>0.0385</v>
      </c>
      <c r="E16" s="173"/>
      <c r="F16" s="173"/>
      <c r="G16" s="173"/>
      <c r="H16" s="173"/>
      <c r="I16" s="173"/>
    </row>
    <row r="17" ht="13.5" customHeight="1">
      <c r="A17" s="179" t="s">
        <v>389</v>
      </c>
      <c r="B17" s="198">
        <v>54.51</v>
      </c>
      <c r="C17" s="198">
        <v>58.71</v>
      </c>
      <c r="D17" s="198">
        <v>63.66</v>
      </c>
      <c r="E17" s="198"/>
      <c r="F17" s="198"/>
      <c r="G17" s="198"/>
      <c r="H17" s="198"/>
      <c r="I17" s="198"/>
    </row>
    <row r="18" ht="13.5" customHeight="1">
      <c r="A18" s="179" t="s">
        <v>390</v>
      </c>
      <c r="B18" s="200">
        <v>0.0696</v>
      </c>
      <c r="C18" s="200">
        <v>0.0578</v>
      </c>
      <c r="D18" s="200">
        <v>0.0569</v>
      </c>
      <c r="E18" s="200"/>
      <c r="F18" s="200"/>
      <c r="G18" s="200"/>
      <c r="H18" s="200"/>
      <c r="I18" s="200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>
      <c r="A1" s="159" t="s">
        <v>510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  <c r="G1" s="159" t="s">
        <v>361</v>
      </c>
      <c r="H1" s="159" t="s">
        <v>362</v>
      </c>
      <c r="I1" s="159" t="s">
        <v>363</v>
      </c>
      <c r="J1" s="159" t="s">
        <v>364</v>
      </c>
      <c r="K1" s="159" t="s">
        <v>365</v>
      </c>
      <c r="L1" s="159" t="s">
        <v>366</v>
      </c>
      <c r="M1" s="159" t="s">
        <v>367</v>
      </c>
      <c r="N1" s="159" t="s">
        <v>368</v>
      </c>
      <c r="O1" s="159" t="s">
        <v>369</v>
      </c>
      <c r="P1" s="159" t="s">
        <v>370</v>
      </c>
      <c r="Q1" s="159" t="s">
        <v>371</v>
      </c>
      <c r="R1" s="159" t="s">
        <v>372</v>
      </c>
    </row>
    <row r="2" ht="13.5" customHeight="1">
      <c r="A2" s="160" t="s">
        <v>428</v>
      </c>
      <c r="B2" s="191">
        <v>0.0</v>
      </c>
      <c r="C2" s="167">
        <v>1.007282E9</v>
      </c>
      <c r="D2" s="167">
        <v>1.000356E9</v>
      </c>
      <c r="E2" s="167">
        <v>9.87717E8</v>
      </c>
      <c r="F2" s="167">
        <v>1.010867E9</v>
      </c>
      <c r="G2" s="167">
        <v>9.84677E8</v>
      </c>
      <c r="H2" s="167">
        <v>9.389E8</v>
      </c>
      <c r="I2" s="167">
        <v>9.46865E8</v>
      </c>
      <c r="J2" s="167">
        <v>9.59952E8</v>
      </c>
      <c r="K2" s="167">
        <v>9.43713E8</v>
      </c>
      <c r="L2" s="167">
        <v>1.1036E9</v>
      </c>
      <c r="M2" s="167">
        <v>1.1752E9</v>
      </c>
      <c r="N2" s="167">
        <v>1.010482E9</v>
      </c>
      <c r="O2" s="167">
        <v>9.315E8</v>
      </c>
      <c r="P2" s="167">
        <v>9.458E8</v>
      </c>
      <c r="Q2" s="167">
        <v>9.057E8</v>
      </c>
      <c r="R2" s="167">
        <v>9.001E8</v>
      </c>
    </row>
    <row r="3" ht="13.5" customHeight="1">
      <c r="A3" s="160" t="s">
        <v>429</v>
      </c>
      <c r="B3" s="191">
        <v>9.6723E8</v>
      </c>
      <c r="C3" s="167">
        <v>1.028371E9</v>
      </c>
      <c r="D3" s="167">
        <v>1.018998E9</v>
      </c>
      <c r="E3" s="167">
        <v>1.006428E9</v>
      </c>
      <c r="F3" s="167">
        <v>1.030942E9</v>
      </c>
      <c r="G3" s="167">
        <v>1.029189E9</v>
      </c>
      <c r="H3" s="167">
        <v>9.67583E8</v>
      </c>
      <c r="I3" s="167">
        <v>9.82742E8</v>
      </c>
      <c r="J3" s="167">
        <v>9.95591E8</v>
      </c>
      <c r="K3" s="167">
        <v>9.8792E8</v>
      </c>
      <c r="L3" s="167">
        <v>1.1421E9</v>
      </c>
      <c r="M3" s="167">
        <v>1.2052E9</v>
      </c>
      <c r="N3" s="167">
        <v>1.038115E9</v>
      </c>
      <c r="O3" s="167">
        <v>1.0025E9</v>
      </c>
      <c r="P3" s="167">
        <v>1.022E9</v>
      </c>
      <c r="Q3" s="167">
        <v>9.82E8</v>
      </c>
      <c r="R3" s="167">
        <v>1.036E9</v>
      </c>
    </row>
    <row r="4" ht="13.5" customHeight="1">
      <c r="A4" s="160" t="s">
        <v>430</v>
      </c>
      <c r="B4" s="191">
        <v>8.992E8</v>
      </c>
      <c r="C4" s="167">
        <v>9.455E8</v>
      </c>
      <c r="D4" s="167">
        <v>9.477E8</v>
      </c>
      <c r="E4" s="167">
        <v>9.26061E8</v>
      </c>
      <c r="F4" s="167">
        <v>9.659E8</v>
      </c>
      <c r="G4" s="167">
        <v>9.461E8</v>
      </c>
      <c r="H4" s="167">
        <v>9.068E8</v>
      </c>
      <c r="I4" s="167">
        <v>9.04E8</v>
      </c>
      <c r="J4" s="167">
        <v>9.355E8</v>
      </c>
      <c r="K4" s="167">
        <v>9.922E8</v>
      </c>
      <c r="L4" s="167">
        <v>1.0634E9</v>
      </c>
      <c r="M4" s="167">
        <v>1.0452E9</v>
      </c>
      <c r="N4" s="167">
        <v>9.371E8</v>
      </c>
      <c r="O4" s="167">
        <v>9.26E8</v>
      </c>
      <c r="P4" s="167">
        <v>9.556E8</v>
      </c>
      <c r="Q4" s="167">
        <v>9.034E8</v>
      </c>
      <c r="R4" s="167">
        <v>8.798E8</v>
      </c>
    </row>
    <row r="5" ht="13.5" customHeight="1">
      <c r="A5" s="160" t="s">
        <v>431</v>
      </c>
      <c r="B5" s="192">
        <v>0.9297</v>
      </c>
      <c r="C5" s="169">
        <v>0.9194</v>
      </c>
      <c r="D5" s="169">
        <v>0.93</v>
      </c>
      <c r="E5" s="169">
        <v>0.9201</v>
      </c>
      <c r="F5" s="169">
        <v>0.9369</v>
      </c>
      <c r="G5" s="169">
        <v>0.9193</v>
      </c>
      <c r="H5" s="169">
        <v>0.9372</v>
      </c>
      <c r="I5" s="169">
        <v>0.9199</v>
      </c>
      <c r="J5" s="169">
        <v>0.9396</v>
      </c>
      <c r="K5" s="169">
        <v>0.8216</v>
      </c>
      <c r="L5" s="169">
        <v>0.9311</v>
      </c>
      <c r="M5" s="169">
        <v>0.8672</v>
      </c>
      <c r="N5" s="169">
        <v>0.9027</v>
      </c>
      <c r="O5" s="169">
        <v>0.9237</v>
      </c>
      <c r="P5" s="169">
        <v>0.935</v>
      </c>
      <c r="Q5" s="169">
        <v>0.92</v>
      </c>
      <c r="R5" s="169">
        <v>0.8492</v>
      </c>
    </row>
    <row r="6" ht="13.5" customHeight="1">
      <c r="A6" s="160" t="s">
        <v>432</v>
      </c>
      <c r="B6" s="191">
        <v>5.72E8</v>
      </c>
      <c r="C6" s="167">
        <v>5.98E8</v>
      </c>
      <c r="D6" s="167">
        <v>6.094E8</v>
      </c>
      <c r="E6" s="167">
        <v>6.18696E8</v>
      </c>
      <c r="F6" s="167">
        <v>6.522E8</v>
      </c>
      <c r="G6" s="167">
        <v>6.177E8</v>
      </c>
      <c r="H6" s="167">
        <v>5.973E8</v>
      </c>
      <c r="I6" s="167">
        <v>5.963E8</v>
      </c>
      <c r="J6" s="167">
        <v>6.222E8</v>
      </c>
      <c r="K6" s="167">
        <v>6.628E8</v>
      </c>
      <c r="L6" s="167">
        <v>6.9E8</v>
      </c>
      <c r="M6" s="167">
        <v>6.157E8</v>
      </c>
      <c r="N6" s="167">
        <v>5.966E8</v>
      </c>
      <c r="O6" s="167">
        <v>5.847E8</v>
      </c>
      <c r="P6" s="167">
        <v>6.146E8</v>
      </c>
      <c r="Q6" s="167">
        <v>5.649E8</v>
      </c>
      <c r="R6" s="167">
        <v>5.469E8</v>
      </c>
    </row>
    <row r="7" ht="13.5" customHeight="1">
      <c r="A7" s="160" t="s">
        <v>433</v>
      </c>
      <c r="B7" s="192">
        <v>0.5914</v>
      </c>
      <c r="C7" s="169">
        <v>0.5815</v>
      </c>
      <c r="D7" s="169">
        <v>0.598</v>
      </c>
      <c r="E7" s="169">
        <v>0.6147</v>
      </c>
      <c r="F7" s="169">
        <v>0.6326</v>
      </c>
      <c r="G7" s="169">
        <v>0.6002</v>
      </c>
      <c r="H7" s="169">
        <v>0.6173</v>
      </c>
      <c r="I7" s="169">
        <v>0.6068</v>
      </c>
      <c r="J7" s="169">
        <v>0.625</v>
      </c>
      <c r="K7" s="169">
        <v>0.6709</v>
      </c>
      <c r="L7" s="169">
        <v>0.6042</v>
      </c>
      <c r="M7" s="169">
        <v>0.5109</v>
      </c>
      <c r="N7" s="169">
        <v>0.5747</v>
      </c>
      <c r="O7" s="169">
        <v>0.5832</v>
      </c>
      <c r="P7" s="169">
        <v>0.6014</v>
      </c>
      <c r="Q7" s="169">
        <v>0.5753</v>
      </c>
      <c r="R7" s="169">
        <v>0.5279</v>
      </c>
    </row>
    <row r="8" ht="13.5" customHeight="1">
      <c r="A8" s="160" t="s">
        <v>434</v>
      </c>
      <c r="B8" s="193">
        <v>0.73</v>
      </c>
      <c r="C8" s="161">
        <v>0.77</v>
      </c>
      <c r="D8" s="161">
        <v>0.79</v>
      </c>
      <c r="E8" s="161">
        <v>0.75</v>
      </c>
      <c r="F8" s="161">
        <v>0.89</v>
      </c>
      <c r="G8" s="161">
        <v>0.87</v>
      </c>
      <c r="H8" s="161">
        <v>0.76</v>
      </c>
      <c r="I8" s="161">
        <v>0.75</v>
      </c>
      <c r="J8" s="161">
        <v>0.79</v>
      </c>
      <c r="K8" s="161">
        <v>0.84</v>
      </c>
      <c r="L8" s="161">
        <v>0.87</v>
      </c>
      <c r="M8" s="161">
        <v>0.78</v>
      </c>
      <c r="N8" s="161">
        <v>0.75</v>
      </c>
      <c r="O8" s="161">
        <v>0.74</v>
      </c>
      <c r="P8" s="161">
        <v>0.78</v>
      </c>
      <c r="Q8" s="161">
        <v>0.71</v>
      </c>
      <c r="R8" s="161">
        <v>0.69</v>
      </c>
    </row>
    <row r="9" ht="13.5" customHeight="1">
      <c r="A9" s="160" t="s">
        <v>435</v>
      </c>
      <c r="B9" s="193">
        <v>3.6880202878E8</v>
      </c>
      <c r="C9" s="161">
        <v>3.2261488759E8</v>
      </c>
      <c r="D9" s="161">
        <v>3.6703803234E8</v>
      </c>
      <c r="E9" s="161">
        <v>4.0760371511E8</v>
      </c>
      <c r="F9" s="161">
        <v>3.7664880013E8</v>
      </c>
      <c r="G9" s="161">
        <v>3.2294228805E8</v>
      </c>
      <c r="H9" s="167">
        <v>3.3726996E8</v>
      </c>
      <c r="I9" s="167">
        <v>3.6343882E8</v>
      </c>
      <c r="J9" s="161">
        <v>4.7641724909E8</v>
      </c>
      <c r="K9" s="161">
        <v>4.7791939441E8</v>
      </c>
      <c r="L9" s="161">
        <v>4.8946219534E8</v>
      </c>
      <c r="M9" s="161">
        <v>4.6289794116E8</v>
      </c>
      <c r="N9" s="161">
        <v>4.3736147062E8</v>
      </c>
      <c r="O9" s="161">
        <v>4.9910754953E8</v>
      </c>
      <c r="P9" s="161">
        <v>5.5097109341E8</v>
      </c>
      <c r="Q9" s="161">
        <v>4.8092368506E8</v>
      </c>
      <c r="R9" s="161">
        <v>4.6526974957E8</v>
      </c>
    </row>
    <row r="10" ht="13.5" customHeight="1">
      <c r="A10" s="160" t="s">
        <v>154</v>
      </c>
      <c r="B10" s="193">
        <v>0.47</v>
      </c>
      <c r="C10" s="161">
        <v>0.42</v>
      </c>
      <c r="D10" s="161">
        <v>0.47</v>
      </c>
      <c r="E10" s="161">
        <v>0.49</v>
      </c>
      <c r="F10" s="161">
        <v>0.51</v>
      </c>
      <c r="G10" s="161">
        <v>0.46</v>
      </c>
      <c r="H10" s="161">
        <v>0.43</v>
      </c>
      <c r="I10" s="161">
        <v>0.46</v>
      </c>
      <c r="J10" s="161">
        <v>0.6</v>
      </c>
      <c r="K10" s="161">
        <v>0.6</v>
      </c>
      <c r="L10" s="161">
        <v>0.62</v>
      </c>
      <c r="M10" s="161">
        <v>0.59</v>
      </c>
      <c r="N10" s="161">
        <v>0.55</v>
      </c>
      <c r="O10" s="161">
        <v>0.63</v>
      </c>
      <c r="P10" s="161">
        <v>0.7</v>
      </c>
      <c r="Q10" s="161">
        <v>0.61</v>
      </c>
      <c r="R10" s="161">
        <v>0.59</v>
      </c>
    </row>
    <row r="11" ht="13.5" customHeight="1">
      <c r="A11" s="160" t="s">
        <v>436</v>
      </c>
      <c r="B11" s="207">
        <v>7.8888134498E8</v>
      </c>
      <c r="C11" s="202">
        <v>7.7180595118E8</v>
      </c>
      <c r="D11" s="202">
        <v>7.7303713636E8</v>
      </c>
      <c r="E11" s="202">
        <v>8.2661471326E8</v>
      </c>
      <c r="F11" s="202">
        <v>7.3306500609E8</v>
      </c>
      <c r="G11" s="202">
        <v>7.0929560302E8</v>
      </c>
      <c r="H11" s="171">
        <v>7.906E8</v>
      </c>
      <c r="I11" s="171">
        <v>7.906E8</v>
      </c>
      <c r="J11" s="171">
        <v>7.90602803E8</v>
      </c>
      <c r="K11" s="171">
        <v>7.90602803E8</v>
      </c>
      <c r="L11" s="171">
        <v>7.90602803E8</v>
      </c>
      <c r="M11" s="171">
        <v>7.90602803E8</v>
      </c>
      <c r="N11" s="171">
        <v>7.90602803E8</v>
      </c>
      <c r="O11" s="171">
        <v>7.90602803E8</v>
      </c>
      <c r="P11" s="171">
        <v>7.90602803E8</v>
      </c>
      <c r="Q11" s="171">
        <v>7.90602803E8</v>
      </c>
      <c r="R11" s="171">
        <v>7.90602803E8</v>
      </c>
    </row>
    <row r="12" ht="13.5" customHeight="1">
      <c r="A12" s="172" t="s">
        <v>382</v>
      </c>
      <c r="B12" s="173">
        <v>0.0774</v>
      </c>
      <c r="C12" s="173">
        <v>0.0624</v>
      </c>
      <c r="D12" s="173">
        <v>0.0625</v>
      </c>
      <c r="E12" s="173"/>
      <c r="F12" s="173"/>
      <c r="G12" s="173"/>
      <c r="H12" s="173"/>
    </row>
    <row r="13" ht="13.5" customHeight="1">
      <c r="A13" s="179" t="s">
        <v>383</v>
      </c>
      <c r="B13" s="196">
        <v>2.5638643712E10</v>
      </c>
      <c r="C13" s="176">
        <v>2.6698562E10</v>
      </c>
      <c r="D13" s="176">
        <v>2.154454499027E10</v>
      </c>
      <c r="E13" s="196"/>
      <c r="F13" s="196"/>
      <c r="G13" s="196"/>
      <c r="H13" s="196"/>
    </row>
    <row r="14" ht="13.5" customHeight="1">
      <c r="A14" s="179" t="s">
        <v>438</v>
      </c>
      <c r="B14" s="173">
        <v>-0.2558</v>
      </c>
      <c r="C14" s="173">
        <v>-0.2746</v>
      </c>
      <c r="D14" s="173">
        <v>-0.4438</v>
      </c>
      <c r="E14" s="173"/>
      <c r="F14" s="173"/>
      <c r="G14" s="173"/>
      <c r="H14" s="173"/>
    </row>
    <row r="15" ht="13.5" customHeight="1">
      <c r="A15" s="179" t="s">
        <v>439</v>
      </c>
      <c r="B15" s="173">
        <v>0.3123</v>
      </c>
      <c r="C15" s="173">
        <v>0.3143</v>
      </c>
      <c r="D15" s="173">
        <v>0.3014</v>
      </c>
      <c r="F15" s="173"/>
      <c r="G15" s="173"/>
      <c r="H15" s="173"/>
    </row>
    <row r="16" ht="13.5" customHeight="1">
      <c r="A16" s="179" t="s">
        <v>440</v>
      </c>
      <c r="B16" s="173">
        <v>0.0575</v>
      </c>
      <c r="C16" s="173">
        <v>0.0505</v>
      </c>
      <c r="D16" s="173">
        <v>0.0681</v>
      </c>
      <c r="E16" s="173"/>
      <c r="F16" s="173"/>
      <c r="G16" s="173"/>
      <c r="H16" s="173"/>
    </row>
    <row r="17" ht="13.5" customHeight="1">
      <c r="A17" s="179" t="s">
        <v>389</v>
      </c>
      <c r="B17" s="198">
        <v>43.67</v>
      </c>
      <c r="C17" s="198">
        <v>47.42</v>
      </c>
      <c r="D17" s="198">
        <v>50.11</v>
      </c>
      <c r="E17" s="198"/>
      <c r="F17" s="198"/>
      <c r="G17" s="198"/>
      <c r="H17" s="198"/>
    </row>
    <row r="18" ht="13.5" customHeight="1">
      <c r="A18" s="179" t="s">
        <v>390</v>
      </c>
      <c r="B18" s="200">
        <v>0.0919</v>
      </c>
      <c r="C18" s="200">
        <v>0.0729</v>
      </c>
      <c r="D18" s="200">
        <v>0.0685</v>
      </c>
      <c r="E18" s="200"/>
      <c r="F18" s="200"/>
      <c r="G18" s="200"/>
      <c r="H18" s="200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>
      <c r="A1" s="159" t="s">
        <v>81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  <c r="G1" s="159" t="s">
        <v>361</v>
      </c>
      <c r="H1" s="159" t="s">
        <v>362</v>
      </c>
      <c r="I1" s="159" t="s">
        <v>363</v>
      </c>
      <c r="J1" s="159" t="s">
        <v>364</v>
      </c>
      <c r="K1" s="159" t="s">
        <v>365</v>
      </c>
      <c r="L1" s="159" t="s">
        <v>366</v>
      </c>
      <c r="M1" s="159" t="s">
        <v>367</v>
      </c>
      <c r="N1" s="159" t="s">
        <v>368</v>
      </c>
      <c r="O1" s="159" t="s">
        <v>369</v>
      </c>
      <c r="P1" s="159" t="s">
        <v>370</v>
      </c>
      <c r="Q1" s="159" t="s">
        <v>371</v>
      </c>
      <c r="R1" s="159" t="s">
        <v>372</v>
      </c>
    </row>
    <row r="2" ht="13.5" customHeight="1">
      <c r="A2" s="160" t="s">
        <v>428</v>
      </c>
      <c r="B2" s="160"/>
      <c r="C2" s="167">
        <v>1.09448E9</v>
      </c>
      <c r="D2" s="167">
        <v>9.84664E8</v>
      </c>
      <c r="E2" s="167">
        <v>9.88652E8</v>
      </c>
      <c r="F2" s="167">
        <v>7.97386E8</v>
      </c>
      <c r="G2" s="167">
        <v>8.04313E8</v>
      </c>
      <c r="H2" s="167">
        <v>6.65362E8</v>
      </c>
      <c r="I2" s="167">
        <v>6.11734E8</v>
      </c>
      <c r="J2" s="167">
        <v>4.70561E8</v>
      </c>
      <c r="K2" s="167">
        <v>4.53257E8</v>
      </c>
      <c r="L2" s="160" t="s">
        <v>511</v>
      </c>
      <c r="M2" s="160" t="s">
        <v>511</v>
      </c>
      <c r="N2" s="160" t="s">
        <v>511</v>
      </c>
      <c r="O2" s="167">
        <v>7.9463E7</v>
      </c>
      <c r="P2" s="167">
        <v>8.05E7</v>
      </c>
      <c r="Q2" s="167">
        <v>1.13E8</v>
      </c>
      <c r="R2" s="167">
        <v>1.12714E8</v>
      </c>
    </row>
    <row r="3" ht="13.5" customHeight="1">
      <c r="A3" s="160" t="s">
        <v>429</v>
      </c>
      <c r="B3" s="160"/>
      <c r="C3" s="167">
        <v>1.335733E9</v>
      </c>
      <c r="D3" s="167">
        <v>1.209544E9</v>
      </c>
      <c r="E3" s="167">
        <v>1.200173E9</v>
      </c>
      <c r="F3" s="167">
        <v>9.50895E8</v>
      </c>
      <c r="G3" s="167">
        <v>9.97967E8</v>
      </c>
      <c r="H3" s="167">
        <v>8.11305E8</v>
      </c>
      <c r="I3" s="167">
        <v>7.43063E8</v>
      </c>
      <c r="J3" s="167">
        <v>5.56795E8</v>
      </c>
      <c r="K3" s="167">
        <v>5.4542E8</v>
      </c>
      <c r="L3" s="167">
        <v>3.75755E8</v>
      </c>
      <c r="M3" s="167">
        <v>7.1663E7</v>
      </c>
      <c r="N3" s="167">
        <v>9.48813E8</v>
      </c>
      <c r="O3" s="167">
        <v>1.130832E9</v>
      </c>
      <c r="P3" s="167">
        <v>1.073663E9</v>
      </c>
      <c r="Q3" s="167">
        <v>1.125532E9</v>
      </c>
      <c r="R3" s="167">
        <v>1.041943E9</v>
      </c>
    </row>
    <row r="4" ht="13.5" customHeight="1">
      <c r="A4" s="160" t="s">
        <v>430</v>
      </c>
      <c r="B4" s="160"/>
      <c r="C4" s="167">
        <v>4.82618E8</v>
      </c>
      <c r="D4" s="167">
        <v>4.17576E8</v>
      </c>
      <c r="E4" s="167">
        <v>4.18202E8</v>
      </c>
      <c r="F4" s="167">
        <v>2.01578E8</v>
      </c>
      <c r="G4" s="167">
        <v>3.0931E8</v>
      </c>
      <c r="H4" s="167">
        <v>2.21487E8</v>
      </c>
      <c r="I4" s="167">
        <v>2.01578E8</v>
      </c>
      <c r="J4" s="167">
        <v>1.34706E8</v>
      </c>
      <c r="K4" s="167">
        <v>1.1102E8</v>
      </c>
      <c r="L4" s="167">
        <v>2.993E7</v>
      </c>
      <c r="M4" s="167">
        <v>-2.25218E8</v>
      </c>
      <c r="N4" s="167">
        <v>2.76953E8</v>
      </c>
      <c r="O4" s="167">
        <v>3.51834E8</v>
      </c>
      <c r="P4" s="167">
        <v>3.2367E8</v>
      </c>
      <c r="Q4" s="167">
        <v>3.68873E8</v>
      </c>
      <c r="R4" s="167">
        <v>3.43418E8</v>
      </c>
    </row>
    <row r="5" ht="13.5" customHeight="1">
      <c r="A5" s="160" t="s">
        <v>431</v>
      </c>
      <c r="B5" s="160"/>
      <c r="C5" s="169">
        <v>0.3613</v>
      </c>
      <c r="D5" s="169">
        <v>0.3452</v>
      </c>
      <c r="E5" s="169">
        <v>0.3485</v>
      </c>
      <c r="F5" s="169">
        <v>0.212</v>
      </c>
      <c r="G5" s="169">
        <v>0.3099</v>
      </c>
      <c r="H5" s="169">
        <v>0.273</v>
      </c>
      <c r="I5" s="169">
        <v>0.2713</v>
      </c>
      <c r="J5" s="169">
        <v>0.2419</v>
      </c>
      <c r="K5" s="169">
        <v>0.2199</v>
      </c>
      <c r="L5" s="169">
        <v>0.0797</v>
      </c>
      <c r="M5" s="169">
        <v>-3.1427</v>
      </c>
      <c r="N5" s="169">
        <v>0.2919</v>
      </c>
      <c r="O5" s="169">
        <v>0.3111</v>
      </c>
      <c r="P5" s="169">
        <v>0.3015</v>
      </c>
      <c r="Q5" s="169">
        <v>0.3277</v>
      </c>
      <c r="R5" s="169">
        <v>0.3296</v>
      </c>
    </row>
    <row r="6" ht="13.5" customHeight="1">
      <c r="A6" s="160" t="s">
        <v>432</v>
      </c>
      <c r="B6" s="160"/>
      <c r="C6" s="167">
        <v>2.82932E8</v>
      </c>
      <c r="D6" s="167">
        <v>2.43973E8</v>
      </c>
      <c r="E6" s="167">
        <v>2.5097E8</v>
      </c>
      <c r="F6" s="167">
        <v>5.2932E7</v>
      </c>
      <c r="G6" s="167">
        <v>1.46895E8</v>
      </c>
      <c r="H6" s="167">
        <v>6.9753E7</v>
      </c>
      <c r="I6" s="167">
        <v>5.29E7</v>
      </c>
      <c r="J6" s="167">
        <v>-8053000.0</v>
      </c>
      <c r="K6" s="167">
        <v>-3.8195E7</v>
      </c>
      <c r="L6" s="167">
        <v>-1.15323E8</v>
      </c>
      <c r="M6" s="167">
        <v>-3.71575E8</v>
      </c>
      <c r="N6" s="167">
        <v>7.7691E7</v>
      </c>
      <c r="O6" s="167">
        <v>2.18064E8</v>
      </c>
      <c r="P6" s="167">
        <v>1.76867E8</v>
      </c>
      <c r="Q6" s="167">
        <v>1.94996E8</v>
      </c>
      <c r="R6" s="167">
        <v>2.15783E8</v>
      </c>
    </row>
    <row r="7" ht="13.5" customHeight="1">
      <c r="A7" s="160" t="s">
        <v>433</v>
      </c>
      <c r="B7" s="160"/>
      <c r="C7" s="169">
        <v>0.2118</v>
      </c>
      <c r="D7" s="169">
        <v>0.2017</v>
      </c>
      <c r="E7" s="169">
        <v>0.2091</v>
      </c>
      <c r="F7" s="169">
        <v>0.0557</v>
      </c>
      <c r="G7" s="169">
        <v>0.1472</v>
      </c>
      <c r="H7" s="169">
        <v>0.086</v>
      </c>
      <c r="I7" s="169">
        <v>0.0712</v>
      </c>
      <c r="J7" s="169">
        <v>-0.0145</v>
      </c>
      <c r="K7" s="169">
        <v>-0.07</v>
      </c>
      <c r="L7" s="169">
        <v>-0.3069</v>
      </c>
      <c r="M7" s="169">
        <v>-5.185</v>
      </c>
      <c r="N7" s="169">
        <v>0.0819</v>
      </c>
      <c r="O7" s="169">
        <v>0.1928</v>
      </c>
      <c r="P7" s="169">
        <v>0.1647</v>
      </c>
      <c r="Q7" s="169">
        <v>0.1732</v>
      </c>
      <c r="R7" s="169">
        <v>0.2071</v>
      </c>
    </row>
    <row r="8" ht="13.5" customHeight="1">
      <c r="A8" s="160" t="s">
        <v>434</v>
      </c>
      <c r="B8" s="160"/>
      <c r="C8" s="161">
        <v>0.34</v>
      </c>
      <c r="D8" s="161">
        <v>0.31</v>
      </c>
      <c r="E8" s="161">
        <v>0.29</v>
      </c>
      <c r="F8" s="161">
        <v>0.06</v>
      </c>
      <c r="G8" s="161">
        <v>0.18</v>
      </c>
      <c r="H8" s="161">
        <v>0.08</v>
      </c>
      <c r="I8" s="161">
        <v>0.06</v>
      </c>
      <c r="J8" s="161">
        <v>-0.01</v>
      </c>
      <c r="K8" s="161">
        <v>-0.05</v>
      </c>
      <c r="L8" s="161">
        <v>-0.15</v>
      </c>
      <c r="M8" s="161">
        <v>-0.47</v>
      </c>
      <c r="N8" s="161">
        <v>0.1</v>
      </c>
      <c r="O8" s="161">
        <v>0.28</v>
      </c>
      <c r="P8" s="161">
        <v>0.23</v>
      </c>
      <c r="Q8" s="161">
        <v>0.25</v>
      </c>
      <c r="R8" s="161">
        <v>0.27</v>
      </c>
    </row>
    <row r="9">
      <c r="A9" s="160" t="s">
        <v>435</v>
      </c>
      <c r="C9" s="170">
        <v>0.0</v>
      </c>
      <c r="D9" s="170">
        <v>0.0</v>
      </c>
      <c r="E9" s="170">
        <v>0.0</v>
      </c>
      <c r="F9" s="170">
        <v>0.0</v>
      </c>
      <c r="G9" s="170">
        <v>0.0</v>
      </c>
      <c r="H9" s="170">
        <v>0.0</v>
      </c>
      <c r="I9" s="170">
        <v>0.0</v>
      </c>
      <c r="J9" s="170">
        <v>0.0</v>
      </c>
      <c r="K9" s="167">
        <v>0.0</v>
      </c>
      <c r="L9" s="167">
        <v>0.0</v>
      </c>
      <c r="M9" s="167">
        <v>0.0</v>
      </c>
      <c r="N9" s="167">
        <v>0.0</v>
      </c>
      <c r="O9" s="161">
        <v>1.5808697949E8</v>
      </c>
      <c r="P9" s="161">
        <v>1.3443679021E8</v>
      </c>
      <c r="Q9" s="161">
        <v>1.6295844705E8</v>
      </c>
      <c r="R9" s="161">
        <v>1.65629897E8</v>
      </c>
    </row>
    <row r="10" ht="13.5" customHeight="1">
      <c r="A10" s="160" t="s">
        <v>154</v>
      </c>
      <c r="B10" s="194">
        <f t="array" ref="B10">IF(SUMIFS(INDIRECT("'"&amp;A$1&amp;"_DIV'!"&amp;"C:C"),INDIRECT("'"&amp;A$1&amp;"_DIV'!"&amp;"E:E"),B1)=0,"",SUMIFS(INDIRECT("'"&amp;A$1&amp;"_DIV'!"&amp;"C:C"),INDIRECT("'"&amp;A$1&amp;"_DIV'!"&amp;"E:E"),B1))</f>
        <v>0.125</v>
      </c>
      <c r="C10" s="194">
        <f t="array" ref="C10">SUMIFS(INDIRECT("'"&amp;A$1&amp;"_DIV'!"&amp;"C:C"),INDIRECT("'"&amp;A$1&amp;"_DIV'!"&amp;"E:E"),C1)</f>
        <v>0</v>
      </c>
      <c r="D10" s="194">
        <f t="array" ref="D10">SUMIFS(INDIRECT("'"&amp;A$1&amp;"_DIV'!"&amp;"C:C"),INDIRECT("'"&amp;A$1&amp;"_DIV'!"&amp;"E:E"),D1)</f>
        <v>0</v>
      </c>
      <c r="E10" s="194">
        <f t="array" ref="E10">SUMIFS(INDIRECT("'"&amp;A$1&amp;"_DIV'!"&amp;"C:C"),INDIRECT("'"&amp;A$1&amp;"_DIV'!"&amp;"E:E"),E1)</f>
        <v>0</v>
      </c>
      <c r="F10" s="194">
        <f t="array" ref="F10">SUMIFS(INDIRECT("'"&amp;A$1&amp;"_DIV'!"&amp;"C:C"),INDIRECT("'"&amp;A$1&amp;"_DIV'!"&amp;"E:E"),F1)</f>
        <v>0</v>
      </c>
      <c r="G10" s="170">
        <v>0.0</v>
      </c>
      <c r="H10" s="167">
        <v>0.0</v>
      </c>
      <c r="I10" s="167">
        <v>0.0</v>
      </c>
      <c r="J10" s="167">
        <v>0.0</v>
      </c>
      <c r="K10" s="167">
        <v>0.0</v>
      </c>
      <c r="L10" s="167">
        <v>0.0</v>
      </c>
      <c r="M10" s="167">
        <v>0.0</v>
      </c>
      <c r="N10" s="167">
        <v>0.0</v>
      </c>
      <c r="O10" s="161">
        <v>0.2</v>
      </c>
      <c r="P10" s="161">
        <v>0.17</v>
      </c>
      <c r="Q10" s="161">
        <v>0.21</v>
      </c>
      <c r="R10" s="161">
        <v>0.21</v>
      </c>
    </row>
    <row r="11" ht="13.5" customHeight="1">
      <c r="A11" s="160" t="s">
        <v>436</v>
      </c>
      <c r="B11" s="160"/>
      <c r="C11" s="171">
        <v>8.3394722E8</v>
      </c>
      <c r="D11" s="171">
        <v>7.85814214E8</v>
      </c>
      <c r="E11" s="202">
        <v>8.6071344107E8</v>
      </c>
      <c r="F11" s="171">
        <v>8.3394722E8</v>
      </c>
      <c r="G11" s="171">
        <v>8.3394722E8</v>
      </c>
      <c r="H11" s="171">
        <v>8.3394722E8</v>
      </c>
      <c r="I11" s="171">
        <v>8.3394722E8</v>
      </c>
      <c r="J11" s="171">
        <v>8.3394722E8</v>
      </c>
      <c r="K11" s="171">
        <v>8.3394722E8</v>
      </c>
      <c r="L11" s="171">
        <v>7.83456458E8</v>
      </c>
      <c r="M11" s="171">
        <v>7.83456458E8</v>
      </c>
      <c r="N11" s="171">
        <v>7.83456458E8</v>
      </c>
      <c r="O11" s="171">
        <v>7.85720574E8</v>
      </c>
      <c r="P11" s="171">
        <v>7.85720574E8</v>
      </c>
      <c r="Q11" s="171">
        <v>7.85720574E8</v>
      </c>
      <c r="R11" s="171">
        <v>7.85720574E8</v>
      </c>
    </row>
    <row r="12" ht="13.5" customHeight="1">
      <c r="A12" s="172" t="s">
        <v>382</v>
      </c>
      <c r="B12" s="173"/>
      <c r="C12" s="173">
        <v>0.1174</v>
      </c>
      <c r="D12" s="173">
        <v>0.1051</v>
      </c>
      <c r="E12" s="173"/>
      <c r="F12" s="173"/>
      <c r="G12" s="173"/>
      <c r="H12" s="173"/>
      <c r="I12" s="173"/>
    </row>
    <row r="13" ht="13.5" customHeight="1">
      <c r="A13" s="179" t="s">
        <v>383</v>
      </c>
      <c r="B13" s="196"/>
      <c r="C13" s="196">
        <v>9.923971918E9</v>
      </c>
      <c r="D13" s="196">
        <v>6.55369054476E9</v>
      </c>
      <c r="E13" s="196"/>
      <c r="F13" s="196"/>
      <c r="G13" s="196"/>
      <c r="H13" s="196"/>
      <c r="I13" s="196"/>
    </row>
    <row r="14" ht="13.5" customHeight="1">
      <c r="A14" s="179" t="s">
        <v>438</v>
      </c>
      <c r="B14" s="173"/>
      <c r="C14" s="173">
        <v>-0.2429</v>
      </c>
      <c r="D14" s="173">
        <v>-0.4388</v>
      </c>
      <c r="E14" s="173"/>
      <c r="F14" s="173"/>
      <c r="G14" s="173"/>
      <c r="H14" s="173"/>
      <c r="I14" s="173"/>
    </row>
    <row r="15" ht="13.5" customHeight="1">
      <c r="A15" s="179" t="s">
        <v>439</v>
      </c>
      <c r="B15" s="173"/>
      <c r="C15" s="173">
        <v>0.2574</v>
      </c>
      <c r="D15" s="173">
        <v>0.2783</v>
      </c>
      <c r="E15" s="173"/>
      <c r="F15" s="173"/>
      <c r="G15" s="173"/>
      <c r="H15" s="173"/>
      <c r="I15" s="173"/>
    </row>
    <row r="16" ht="13.5" customHeight="1">
      <c r="A16" s="179" t="s">
        <v>440</v>
      </c>
      <c r="B16" s="173">
        <v>0.0105</v>
      </c>
      <c r="C16" s="173">
        <v>0.0</v>
      </c>
      <c r="D16" s="173">
        <v>0.0</v>
      </c>
      <c r="E16" s="173"/>
      <c r="F16" s="173"/>
      <c r="G16" s="173"/>
      <c r="H16" s="173"/>
      <c r="I16" s="173"/>
    </row>
    <row r="17" ht="13.5" customHeight="1">
      <c r="A17" s="179" t="s">
        <v>389</v>
      </c>
      <c r="B17" s="198"/>
      <c r="C17" s="198">
        <v>14.79</v>
      </c>
      <c r="D17" s="198">
        <v>14.86</v>
      </c>
      <c r="E17" s="198"/>
      <c r="F17" s="198"/>
      <c r="G17" s="198"/>
      <c r="H17" s="198"/>
      <c r="I17" s="198"/>
    </row>
    <row r="18" ht="13.5" customHeight="1">
      <c r="A18" s="179" t="s">
        <v>390</v>
      </c>
      <c r="B18" s="200"/>
      <c r="C18" s="200">
        <v>0.1028</v>
      </c>
      <c r="D18" s="200">
        <v>0.0964</v>
      </c>
      <c r="E18" s="200"/>
      <c r="F18" s="200"/>
      <c r="G18" s="200"/>
      <c r="H18" s="200"/>
      <c r="I18" s="200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71"/>
  </cols>
  <sheetData>
    <row r="1">
      <c r="A1" s="166" t="s">
        <v>129</v>
      </c>
      <c r="B1" s="166" t="s">
        <v>155</v>
      </c>
    </row>
    <row r="2">
      <c r="A2" s="103" t="s">
        <v>637</v>
      </c>
      <c r="B2" s="103" t="s">
        <v>638</v>
      </c>
      <c r="C2" s="208">
        <f t="shared" ref="C2:C18" si="1">VALUE(SUBSTITUTE(SUBSTITUTE(B2,"MXN $",""),"",""))</f>
        <v>0.125</v>
      </c>
      <c r="D2" s="209" t="str">
        <f t="shared" ref="D2:D18" si="2">SUBSTITUTE(SUBSTITUTE(A2,"de",""),"","")</f>
        <v>13  mayo  2023</v>
      </c>
      <c r="E2" s="210" t="str">
        <f t="shared" ref="E2:E18" si="3">IF(IF(ROUNDUP(MONTH(D2)/3,0)-1=0,4,ROUNDUP(MONTH(D2)/3,0)-1)=4,YEAR(D2)-1,YEAR(D2)) &amp; " Q" &amp; IF(ROUNDUP(MONTH(D2)/3,0)-1=0,4,ROUNDUP(MONTH(D2)/3,0)-1)</f>
        <v>2023 Q1</v>
      </c>
      <c r="F2" s="166" t="s">
        <v>133</v>
      </c>
    </row>
    <row r="3">
      <c r="A3" s="166" t="s">
        <v>263</v>
      </c>
      <c r="B3" s="166" t="s">
        <v>639</v>
      </c>
      <c r="C3" s="208">
        <f t="shared" si="1"/>
        <v>0.058805</v>
      </c>
      <c r="D3" s="209" t="str">
        <f t="shared" si="2"/>
        <v>13  marzo  2020</v>
      </c>
      <c r="E3" s="210" t="str">
        <f t="shared" si="3"/>
        <v>2019 Q4</v>
      </c>
    </row>
    <row r="4">
      <c r="A4" s="166" t="s">
        <v>263</v>
      </c>
      <c r="B4" s="166" t="s">
        <v>640</v>
      </c>
      <c r="C4" s="208">
        <f t="shared" si="1"/>
        <v>0.14291</v>
      </c>
      <c r="D4" s="209" t="str">
        <f t="shared" si="2"/>
        <v>13  marzo  2020</v>
      </c>
      <c r="E4" s="210" t="str">
        <f t="shared" si="3"/>
        <v>2019 Q4</v>
      </c>
    </row>
    <row r="5">
      <c r="A5" s="166" t="s">
        <v>418</v>
      </c>
      <c r="B5" s="166" t="s">
        <v>641</v>
      </c>
      <c r="C5" s="208">
        <f t="shared" si="1"/>
        <v>0.171107</v>
      </c>
      <c r="D5" s="209" t="str">
        <f t="shared" si="2"/>
        <v>8  noviembre  2019</v>
      </c>
      <c r="E5" s="210" t="str">
        <f t="shared" si="3"/>
        <v>2019 Q3</v>
      </c>
    </row>
    <row r="6">
      <c r="A6" s="166" t="s">
        <v>642</v>
      </c>
      <c r="B6" s="166" t="s">
        <v>643</v>
      </c>
      <c r="C6" s="208">
        <f t="shared" si="1"/>
        <v>0.204149</v>
      </c>
      <c r="D6" s="209" t="str">
        <f t="shared" si="2"/>
        <v>2  agosto  2019</v>
      </c>
      <c r="E6" s="210" t="str">
        <f t="shared" si="3"/>
        <v>2019 Q2</v>
      </c>
    </row>
    <row r="7">
      <c r="A7" s="166" t="s">
        <v>642</v>
      </c>
      <c r="B7" s="166" t="s">
        <v>644</v>
      </c>
      <c r="C7" s="208">
        <f t="shared" si="1"/>
        <v>0.022248</v>
      </c>
      <c r="D7" s="209" t="str">
        <f t="shared" si="2"/>
        <v>2  agosto  2019</v>
      </c>
      <c r="E7" s="210" t="str">
        <f t="shared" si="3"/>
        <v>2019 Q2</v>
      </c>
    </row>
    <row r="8">
      <c r="A8" s="166" t="s">
        <v>293</v>
      </c>
      <c r="B8" s="166" t="s">
        <v>645</v>
      </c>
      <c r="C8" s="208">
        <f t="shared" si="1"/>
        <v>0.111074</v>
      </c>
      <c r="D8" s="209" t="str">
        <f t="shared" si="2"/>
        <v>17  mayo  2019</v>
      </c>
      <c r="E8" s="210" t="str">
        <f t="shared" si="3"/>
        <v>2019 Q1</v>
      </c>
    </row>
    <row r="9">
      <c r="A9" s="166" t="s">
        <v>293</v>
      </c>
      <c r="B9" s="166" t="s">
        <v>646</v>
      </c>
      <c r="C9" s="208">
        <f t="shared" si="1"/>
        <v>0.099762</v>
      </c>
      <c r="D9" s="209" t="str">
        <f t="shared" si="2"/>
        <v>17  mayo  2019</v>
      </c>
      <c r="E9" s="210" t="str">
        <f t="shared" si="3"/>
        <v>2019 Q1</v>
      </c>
    </row>
    <row r="10">
      <c r="A10" s="166" t="s">
        <v>647</v>
      </c>
      <c r="B10" s="166" t="s">
        <v>648</v>
      </c>
      <c r="C10" s="208">
        <f t="shared" si="1"/>
        <v>0.262211</v>
      </c>
      <c r="D10" s="209" t="str">
        <f t="shared" si="2"/>
        <v>8  marzo  2019</v>
      </c>
      <c r="E10" s="210" t="str">
        <f t="shared" si="3"/>
        <v>2018 Q4</v>
      </c>
    </row>
    <row r="11">
      <c r="A11" s="166" t="s">
        <v>325</v>
      </c>
      <c r="B11" s="166" t="s">
        <v>649</v>
      </c>
      <c r="C11" s="208">
        <f t="shared" si="1"/>
        <v>0.097852</v>
      </c>
      <c r="D11" s="209" t="str">
        <f t="shared" si="2"/>
        <v>5  noviembre  2018</v>
      </c>
      <c r="E11" s="210" t="str">
        <f t="shared" si="3"/>
        <v>2018 Q3</v>
      </c>
    </row>
    <row r="12">
      <c r="A12" s="166" t="s">
        <v>325</v>
      </c>
      <c r="B12" s="166" t="s">
        <v>650</v>
      </c>
      <c r="C12" s="208">
        <f t="shared" si="1"/>
        <v>0.109591</v>
      </c>
      <c r="D12" s="209" t="str">
        <f t="shared" si="2"/>
        <v>5  noviembre  2018</v>
      </c>
      <c r="E12" s="210" t="str">
        <f t="shared" si="3"/>
        <v>2018 Q3</v>
      </c>
    </row>
    <row r="13">
      <c r="A13" s="166" t="s">
        <v>337</v>
      </c>
      <c r="B13" s="166" t="s">
        <v>651</v>
      </c>
      <c r="C13" s="208">
        <f t="shared" si="1"/>
        <v>0.141257</v>
      </c>
      <c r="D13" s="209" t="str">
        <f t="shared" si="2"/>
        <v>27  julio  2018</v>
      </c>
      <c r="E13" s="210" t="str">
        <f t="shared" si="3"/>
        <v>2018 Q2</v>
      </c>
    </row>
    <row r="14">
      <c r="A14" s="166" t="s">
        <v>337</v>
      </c>
      <c r="B14" s="166" t="s">
        <v>652</v>
      </c>
      <c r="C14" s="208">
        <f t="shared" si="1"/>
        <v>0.148851</v>
      </c>
      <c r="D14" s="209" t="str">
        <f t="shared" si="2"/>
        <v>27  julio  2018</v>
      </c>
      <c r="E14" s="210" t="str">
        <f t="shared" si="3"/>
        <v>2018 Q2</v>
      </c>
    </row>
    <row r="15">
      <c r="A15" s="166" t="s">
        <v>349</v>
      </c>
      <c r="B15" s="166" t="s">
        <v>653</v>
      </c>
      <c r="C15" s="208">
        <f t="shared" si="1"/>
        <v>0.142017</v>
      </c>
      <c r="D15" s="209" t="str">
        <f t="shared" si="2"/>
        <v>27  abril  2018</v>
      </c>
      <c r="E15" s="210" t="str">
        <f t="shared" si="3"/>
        <v>2018 Q1</v>
      </c>
    </row>
    <row r="16">
      <c r="A16" s="166" t="s">
        <v>349</v>
      </c>
      <c r="B16" s="166" t="s">
        <v>654</v>
      </c>
      <c r="C16" s="208">
        <f t="shared" si="1"/>
        <v>0.153258</v>
      </c>
      <c r="D16" s="209" t="str">
        <f t="shared" si="2"/>
        <v>27  abril  2018</v>
      </c>
      <c r="E16" s="210" t="str">
        <f t="shared" si="3"/>
        <v>2018 Q1</v>
      </c>
    </row>
    <row r="17">
      <c r="A17" s="166" t="s">
        <v>357</v>
      </c>
      <c r="B17" s="166" t="s">
        <v>655</v>
      </c>
      <c r="C17" s="208">
        <f t="shared" si="1"/>
        <v>0.237146</v>
      </c>
      <c r="D17" s="209" t="str">
        <f t="shared" si="2"/>
        <v>9  marzo  2018</v>
      </c>
      <c r="E17" s="210" t="str">
        <f t="shared" si="3"/>
        <v>2017 Q4</v>
      </c>
    </row>
    <row r="18">
      <c r="A18" s="166" t="s">
        <v>357</v>
      </c>
      <c r="B18" s="166" t="s">
        <v>656</v>
      </c>
      <c r="C18" s="208">
        <f t="shared" si="1"/>
        <v>0.050283</v>
      </c>
      <c r="D18" s="209" t="str">
        <f t="shared" si="2"/>
        <v>9  marzo  2018</v>
      </c>
      <c r="E18" s="210" t="str">
        <f t="shared" si="3"/>
        <v>2017 Q4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>
      <c r="A1" s="159" t="s">
        <v>73</v>
      </c>
      <c r="B1" s="158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  <c r="G1" s="159" t="s">
        <v>361</v>
      </c>
      <c r="H1" s="159" t="s">
        <v>362</v>
      </c>
      <c r="I1" s="159" t="s">
        <v>363</v>
      </c>
      <c r="J1" s="159" t="s">
        <v>364</v>
      </c>
      <c r="K1" s="159" t="s">
        <v>365</v>
      </c>
      <c r="L1" s="159" t="s">
        <v>366</v>
      </c>
      <c r="M1" s="159" t="s">
        <v>367</v>
      </c>
      <c r="N1" s="159" t="s">
        <v>368</v>
      </c>
      <c r="O1" s="159" t="s">
        <v>369</v>
      </c>
      <c r="P1" s="159" t="s">
        <v>370</v>
      </c>
      <c r="Q1" s="159" t="s">
        <v>371</v>
      </c>
      <c r="R1" s="159" t="s">
        <v>372</v>
      </c>
    </row>
    <row r="2" ht="13.5" customHeight="1">
      <c r="A2" s="160" t="s">
        <v>428</v>
      </c>
      <c r="B2" s="191">
        <v>5.3198E8</v>
      </c>
      <c r="C2" s="167">
        <v>5.44021E8</v>
      </c>
      <c r="D2" s="167">
        <v>5.05493E8</v>
      </c>
      <c r="E2" s="167">
        <v>4.85587E8</v>
      </c>
      <c r="F2" s="167">
        <v>3.77598E8</v>
      </c>
      <c r="G2" s="167">
        <v>3.93106E8</v>
      </c>
      <c r="H2" s="167">
        <v>3.24941E8</v>
      </c>
      <c r="I2" s="167">
        <v>2.79741E8</v>
      </c>
      <c r="J2" s="167">
        <v>1.85981E8</v>
      </c>
      <c r="K2" s="167">
        <v>1.56444E8</v>
      </c>
      <c r="L2" s="167">
        <v>9000000.0</v>
      </c>
      <c r="M2" s="167">
        <v>4858000.0</v>
      </c>
      <c r="N2" s="167">
        <v>1.726E7</v>
      </c>
      <c r="O2" s="167">
        <v>2.437E7</v>
      </c>
      <c r="P2" s="167">
        <v>2.51E7</v>
      </c>
      <c r="Q2" s="167">
        <v>2.47E7</v>
      </c>
      <c r="R2" s="167">
        <v>2.37E7</v>
      </c>
    </row>
    <row r="3" ht="13.5" customHeight="1">
      <c r="A3" s="160" t="s">
        <v>429</v>
      </c>
      <c r="B3" s="191">
        <v>5.3198E8</v>
      </c>
      <c r="C3" s="167">
        <v>5.44021E8</v>
      </c>
      <c r="D3" s="167">
        <v>5.05493E8</v>
      </c>
      <c r="E3" s="167">
        <v>4.85587E8</v>
      </c>
      <c r="F3" s="167">
        <v>3.77598E8</v>
      </c>
      <c r="G3" s="167">
        <v>3.93106E8</v>
      </c>
      <c r="H3" s="167">
        <v>3.24941E8</v>
      </c>
      <c r="I3" s="167">
        <v>2.79741E8</v>
      </c>
      <c r="J3" s="167">
        <v>1.85981E8</v>
      </c>
      <c r="K3" s="167">
        <v>1.56444E8</v>
      </c>
      <c r="L3" s="167">
        <v>1.37467E8</v>
      </c>
      <c r="M3" s="167">
        <v>5.5331E7</v>
      </c>
      <c r="N3" s="167">
        <v>3.57025E8</v>
      </c>
      <c r="O3" s="167">
        <v>4.68476E8</v>
      </c>
      <c r="P3" s="167">
        <v>4.873E8</v>
      </c>
      <c r="Q3" s="167">
        <v>4.843E8</v>
      </c>
      <c r="R3" s="167">
        <v>4.801E8</v>
      </c>
    </row>
    <row r="4" ht="13.5" customHeight="1">
      <c r="A4" s="160" t="s">
        <v>430</v>
      </c>
      <c r="B4" s="191">
        <v>1.787E8</v>
      </c>
      <c r="C4" s="167">
        <v>1.886E8</v>
      </c>
      <c r="D4" s="167">
        <v>1.644E8</v>
      </c>
      <c r="E4" s="167">
        <v>1.625E8</v>
      </c>
      <c r="F4" s="167">
        <v>1.14994E8</v>
      </c>
      <c r="G4" s="167">
        <v>1.17638E8</v>
      </c>
      <c r="H4" s="167">
        <v>7.38E7</v>
      </c>
      <c r="I4" s="167">
        <v>5.68E7</v>
      </c>
      <c r="J4" s="167">
        <v>9182000.0</v>
      </c>
      <c r="K4" s="167">
        <v>-1398000.0</v>
      </c>
      <c r="L4" s="167">
        <v>-2.4408E7</v>
      </c>
      <c r="M4" s="167">
        <v>-8.69E7</v>
      </c>
      <c r="N4" s="167">
        <v>6.9211E7</v>
      </c>
      <c r="O4" s="167">
        <v>1.46239E8</v>
      </c>
      <c r="P4" s="167">
        <v>1.54281E8</v>
      </c>
      <c r="Q4" s="167">
        <v>1.50071E8</v>
      </c>
      <c r="R4" s="167">
        <v>1.667E8</v>
      </c>
    </row>
    <row r="5" ht="13.5" customHeight="1">
      <c r="A5" s="160" t="s">
        <v>431</v>
      </c>
      <c r="B5" s="192">
        <v>0.3359</v>
      </c>
      <c r="C5" s="169">
        <v>0.3467</v>
      </c>
      <c r="D5" s="169">
        <v>0.3252</v>
      </c>
      <c r="E5" s="169">
        <v>0.3346</v>
      </c>
      <c r="F5" s="169">
        <v>0.3045</v>
      </c>
      <c r="G5" s="169">
        <v>0.2993</v>
      </c>
      <c r="H5" s="169">
        <v>0.2271</v>
      </c>
      <c r="I5" s="169">
        <v>0.203</v>
      </c>
      <c r="J5" s="169">
        <v>0.0494</v>
      </c>
      <c r="K5" s="169">
        <v>0.0624</v>
      </c>
      <c r="L5" s="169">
        <v>-0.1776</v>
      </c>
      <c r="M5" s="169">
        <v>-1.5705</v>
      </c>
      <c r="N5" s="169">
        <v>0.1939</v>
      </c>
      <c r="O5" s="169">
        <v>0.3122</v>
      </c>
      <c r="P5" s="169">
        <v>0.3166</v>
      </c>
      <c r="Q5" s="169">
        <v>0.3099</v>
      </c>
      <c r="R5" s="169">
        <v>0.3472</v>
      </c>
    </row>
    <row r="6" ht="13.5" customHeight="1">
      <c r="A6" s="160" t="s">
        <v>432</v>
      </c>
      <c r="B6" s="191">
        <v>4.53E7</v>
      </c>
      <c r="C6" s="167">
        <v>5.19E7</v>
      </c>
      <c r="D6" s="167">
        <v>3.93E7</v>
      </c>
      <c r="E6" s="167">
        <v>3.69E7</v>
      </c>
      <c r="F6" s="167">
        <v>-4414000.0</v>
      </c>
      <c r="G6" s="167">
        <v>-4029000.0</v>
      </c>
      <c r="H6" s="167">
        <v>-5.45E7</v>
      </c>
      <c r="I6" s="167">
        <v>-4.62E7</v>
      </c>
      <c r="J6" s="167">
        <v>-9.69E7</v>
      </c>
      <c r="K6" s="167">
        <v>-1.17055E8</v>
      </c>
      <c r="L6" s="167">
        <v>-1.25104E8</v>
      </c>
      <c r="M6" s="167">
        <v>-1.84848E8</v>
      </c>
      <c r="N6" s="167">
        <v>3.9336E7</v>
      </c>
      <c r="O6" s="167">
        <v>7.996E7</v>
      </c>
      <c r="P6" s="167">
        <v>7.95E7</v>
      </c>
      <c r="Q6" s="167">
        <v>9.28E7</v>
      </c>
      <c r="R6" s="167">
        <v>9.79E7</v>
      </c>
    </row>
    <row r="7" ht="13.5" customHeight="1">
      <c r="A7" s="160" t="s">
        <v>433</v>
      </c>
      <c r="B7" s="192">
        <v>0.0852</v>
      </c>
      <c r="C7" s="169">
        <v>0.0954</v>
      </c>
      <c r="D7" s="169">
        <v>0.0777</v>
      </c>
      <c r="E7" s="169">
        <v>0.076</v>
      </c>
      <c r="F7" s="169">
        <v>-0.0117</v>
      </c>
      <c r="G7" s="169">
        <v>-0.0102</v>
      </c>
      <c r="H7" s="169">
        <v>-0.1677</v>
      </c>
      <c r="I7" s="169">
        <v>-0.1652</v>
      </c>
      <c r="J7" s="169">
        <v>-0.521</v>
      </c>
      <c r="K7" s="169">
        <v>-0.7482</v>
      </c>
      <c r="L7" s="169">
        <v>-0.9101</v>
      </c>
      <c r="M7" s="169">
        <v>-3.3408</v>
      </c>
      <c r="N7" s="169">
        <v>0.1102</v>
      </c>
      <c r="O7" s="169">
        <v>0.1707</v>
      </c>
      <c r="P7" s="169">
        <v>0.1631</v>
      </c>
      <c r="Q7" s="169">
        <v>0.1916</v>
      </c>
      <c r="R7" s="169">
        <v>0.2039</v>
      </c>
    </row>
    <row r="8" ht="13.5" customHeight="1">
      <c r="A8" s="160" t="s">
        <v>434</v>
      </c>
      <c r="B8" s="193">
        <v>0.09</v>
      </c>
      <c r="C8" s="161">
        <v>0.1</v>
      </c>
      <c r="D8" s="161">
        <v>0.08</v>
      </c>
      <c r="E8" s="161">
        <v>0.07</v>
      </c>
      <c r="F8" s="161">
        <v>-0.01</v>
      </c>
      <c r="G8" s="161">
        <v>-0.01</v>
      </c>
      <c r="H8" s="161">
        <v>-0.11</v>
      </c>
      <c r="I8" s="161">
        <v>-0.09</v>
      </c>
      <c r="J8" s="161">
        <v>-0.19</v>
      </c>
      <c r="K8" s="161">
        <v>-0.24</v>
      </c>
      <c r="L8" s="161">
        <v>-0.25</v>
      </c>
      <c r="M8" s="161">
        <v>-0.38</v>
      </c>
      <c r="N8" s="161">
        <v>0.08</v>
      </c>
      <c r="O8" s="161">
        <v>0.16</v>
      </c>
      <c r="P8" s="161">
        <v>0.15</v>
      </c>
      <c r="Q8" s="161">
        <v>0.18</v>
      </c>
      <c r="R8" s="161">
        <v>0.19</v>
      </c>
    </row>
    <row r="9" ht="13.5" customHeight="1">
      <c r="A9" s="160" t="s">
        <v>435</v>
      </c>
      <c r="B9" s="193">
        <v>2.110180563E7</v>
      </c>
      <c r="C9" s="161">
        <v>2.155506637E7</v>
      </c>
      <c r="D9" s="161">
        <v>2.155506637E7</v>
      </c>
      <c r="E9" s="167">
        <v>0.0</v>
      </c>
      <c r="F9" s="167">
        <v>0.0</v>
      </c>
      <c r="G9" s="167">
        <v>0.0</v>
      </c>
      <c r="H9" s="167">
        <v>0.0</v>
      </c>
      <c r="I9" s="167">
        <v>0.0</v>
      </c>
      <c r="J9" s="167">
        <v>0.0</v>
      </c>
      <c r="K9" s="167">
        <v>0.0</v>
      </c>
      <c r="L9" s="167">
        <v>0.0</v>
      </c>
      <c r="M9" s="167">
        <v>0.0</v>
      </c>
      <c r="N9" s="167">
        <v>0.0</v>
      </c>
      <c r="O9" s="161">
        <v>6.356684793E7</v>
      </c>
      <c r="P9" s="161">
        <v>6.631295683E7</v>
      </c>
      <c r="Q9" s="161">
        <v>3.892052331E7</v>
      </c>
      <c r="R9" s="161">
        <v>8.275899318E7</v>
      </c>
    </row>
    <row r="10" ht="13.5" customHeight="1">
      <c r="A10" s="160" t="s">
        <v>154</v>
      </c>
      <c r="B10" s="194">
        <v>0.04</v>
      </c>
      <c r="C10" s="194">
        <f t="array" ref="C10">SUMIFS(INDIRECT("'"&amp;A$1&amp;"_DIV'!"&amp;"C:C"),INDIRECT("'"&amp;A$1&amp;"_DIV'!"&amp;"E:E"),C1)</f>
        <v>0.042845</v>
      </c>
      <c r="D10" s="194">
        <f t="array" ref="D10">SUMIFS(INDIRECT("'"&amp;A$1&amp;"_DIV'!"&amp;"C:C"),INDIRECT("'"&amp;A$1&amp;"_DIV'!"&amp;"E:E"),D1)</f>
        <v>0.042845</v>
      </c>
      <c r="E10" s="194">
        <f t="array" ref="E10">SUMIFS(INDIRECT("'"&amp;A$1&amp;"_DIV'!"&amp;"C:C"),INDIRECT("'"&amp;A$1&amp;"_DIV'!"&amp;"E:E"),E1)</f>
        <v>0</v>
      </c>
      <c r="F10" s="194">
        <f t="array" ref="F10">SUMIFS(INDIRECT("'"&amp;A$1&amp;"_DIV'!"&amp;"C:C"),INDIRECT("'"&amp;A$1&amp;"_DIV'!"&amp;"E:E"),F1)</f>
        <v>0</v>
      </c>
      <c r="G10" s="211">
        <v>0.0</v>
      </c>
      <c r="H10" s="211">
        <v>0.0</v>
      </c>
      <c r="I10" s="167">
        <v>0.0</v>
      </c>
      <c r="J10" s="167">
        <v>0.0</v>
      </c>
      <c r="K10" s="167">
        <v>0.0</v>
      </c>
      <c r="L10" s="167">
        <v>0.0</v>
      </c>
      <c r="M10" s="167">
        <v>0.0</v>
      </c>
      <c r="N10" s="167">
        <v>0.0</v>
      </c>
      <c r="O10" s="161">
        <v>0.13</v>
      </c>
      <c r="P10" s="161">
        <v>0.13</v>
      </c>
      <c r="Q10" s="161">
        <v>0.07</v>
      </c>
      <c r="R10" s="161">
        <v>0.16</v>
      </c>
    </row>
    <row r="11" ht="13.5" customHeight="1">
      <c r="A11" s="160" t="s">
        <v>436</v>
      </c>
      <c r="B11" s="195">
        <v>5.03623046E8</v>
      </c>
      <c r="C11" s="171">
        <v>5.03623046E8</v>
      </c>
      <c r="D11" s="171">
        <v>5.03623046E8</v>
      </c>
      <c r="E11" s="171">
        <v>5.03623046E8</v>
      </c>
      <c r="F11" s="171">
        <v>5.03623046E8</v>
      </c>
      <c r="G11" s="171">
        <v>5.03623046E8</v>
      </c>
      <c r="H11" s="171">
        <v>5.03846946E8</v>
      </c>
      <c r="I11" s="171">
        <v>5.03846946E8</v>
      </c>
      <c r="J11" s="171">
        <v>5.03846946E8</v>
      </c>
      <c r="K11" s="171">
        <v>4.92620026E8</v>
      </c>
      <c r="L11" s="171">
        <v>4.97820188E8</v>
      </c>
      <c r="M11" s="171">
        <v>4.92396126E8</v>
      </c>
      <c r="N11" s="171">
        <v>4.92615026E8</v>
      </c>
      <c r="O11" s="171">
        <v>4.93531428E8</v>
      </c>
      <c r="P11" s="171">
        <v>5.28811458E8</v>
      </c>
      <c r="Q11" s="171">
        <v>5.28811458E8</v>
      </c>
      <c r="R11" s="171">
        <v>5.28811458E8</v>
      </c>
    </row>
    <row r="12" ht="13.5" customHeight="1">
      <c r="A12" s="172" t="s">
        <v>382</v>
      </c>
      <c r="B12" s="173">
        <v>0.0748</v>
      </c>
      <c r="C12" s="173">
        <v>0.0784</v>
      </c>
      <c r="D12" s="173">
        <v>0.0735</v>
      </c>
      <c r="E12" s="173"/>
      <c r="F12" s="173"/>
      <c r="G12" s="173"/>
      <c r="H12" s="173"/>
      <c r="I12" s="173"/>
      <c r="J12" s="173"/>
    </row>
    <row r="13" ht="13.5" customHeight="1">
      <c r="A13" s="179" t="s">
        <v>383</v>
      </c>
      <c r="B13" s="196">
        <v>3.2231874944E9</v>
      </c>
      <c r="C13" s="176">
        <v>2.8719275922E9</v>
      </c>
      <c r="D13" s="176">
        <v>1.90873134434E9</v>
      </c>
      <c r="E13" s="176"/>
      <c r="F13" s="176"/>
      <c r="G13" s="176"/>
      <c r="H13" s="176"/>
      <c r="I13" s="176"/>
      <c r="J13" s="196"/>
    </row>
    <row r="14" ht="13.5" customHeight="1">
      <c r="A14" s="179" t="s">
        <v>438</v>
      </c>
      <c r="B14" s="173">
        <v>-0.5828</v>
      </c>
      <c r="C14" s="173">
        <v>-0.6367</v>
      </c>
      <c r="D14" s="173">
        <v>-0.7343</v>
      </c>
      <c r="E14" s="173"/>
      <c r="F14" s="173"/>
      <c r="G14" s="173"/>
      <c r="H14" s="173"/>
      <c r="I14" s="173"/>
      <c r="J14" s="173"/>
    </row>
    <row r="15" ht="13.5" customHeight="1">
      <c r="A15" s="179" t="s">
        <v>439</v>
      </c>
      <c r="B15" s="173">
        <v>0.3353</v>
      </c>
      <c r="C15" s="173">
        <v>0.333</v>
      </c>
      <c r="D15" s="173">
        <v>0.3503</v>
      </c>
      <c r="F15" s="173"/>
      <c r="G15" s="173"/>
      <c r="H15" s="173"/>
      <c r="I15" s="173"/>
      <c r="J15" s="173"/>
    </row>
    <row r="16" ht="13.5" customHeight="1">
      <c r="A16" s="179" t="s">
        <v>440</v>
      </c>
      <c r="B16" s="173">
        <v>0.0262</v>
      </c>
      <c r="C16" s="173">
        <v>0.0</v>
      </c>
      <c r="D16" s="173">
        <v>0.0452</v>
      </c>
      <c r="E16" s="173"/>
      <c r="F16" s="173"/>
      <c r="G16" s="173"/>
      <c r="H16" s="173"/>
      <c r="I16" s="173"/>
      <c r="J16" s="173"/>
    </row>
    <row r="17" ht="13.5" customHeight="1">
      <c r="A17" s="179" t="s">
        <v>389</v>
      </c>
      <c r="B17" s="198">
        <v>15.34</v>
      </c>
      <c r="C17" s="198">
        <v>15.55</v>
      </c>
      <c r="D17" s="198">
        <v>14.26</v>
      </c>
      <c r="E17" s="198"/>
      <c r="F17" s="198"/>
      <c r="G17" s="198"/>
      <c r="H17" s="198"/>
      <c r="I17" s="198"/>
      <c r="J17" s="198"/>
    </row>
    <row r="18" ht="13.5" customHeight="1">
      <c r="A18" s="179" t="s">
        <v>390</v>
      </c>
      <c r="B18" s="200">
        <v>0.0525</v>
      </c>
      <c r="C18" s="200">
        <v>0.0672</v>
      </c>
      <c r="D18" s="200">
        <v>0.058</v>
      </c>
      <c r="E18" s="200"/>
      <c r="F18" s="200"/>
      <c r="G18" s="200"/>
      <c r="H18" s="200"/>
      <c r="I18" s="200"/>
      <c r="J18" s="200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7.0"/>
    <col customWidth="1" min="4" max="4" width="18.57"/>
    <col customWidth="1" min="6" max="6" width="19.57"/>
  </cols>
  <sheetData>
    <row r="1">
      <c r="A1" s="166" t="s">
        <v>129</v>
      </c>
      <c r="B1" s="166" t="s">
        <v>155</v>
      </c>
    </row>
    <row r="2">
      <c r="A2" s="166" t="s">
        <v>657</v>
      </c>
      <c r="B2" s="166" t="s">
        <v>658</v>
      </c>
      <c r="C2" s="187">
        <f t="shared" ref="C2:C12" si="1">VALUE(SUBSTITUTE(SUBSTITUTE(B2,"MXN $",""),"",""))</f>
        <v>0.042845</v>
      </c>
      <c r="D2" s="188" t="str">
        <f t="shared" ref="D2:D12" si="2">SUBSTITUTE(SUBSTITUTE(A2,"de",""),"","")</f>
        <v>30  marzo  2023</v>
      </c>
      <c r="E2" s="189" t="str">
        <f t="shared" ref="E2:E12" si="3">IF(IF(ROUNDUP(MONTH(D2)/3,0)-1=0,4,ROUNDUP(MONTH(D2)/3,0)-1)=4,YEAR(D2)-1,YEAR(D2)) &amp; " Q" &amp; IF(ROUNDUP(MONTH(D2)/3,0)-1=0,4,ROUNDUP(MONTH(D2)/3,0)-1)</f>
        <v>2022 Q4</v>
      </c>
      <c r="F2" s="166" t="s">
        <v>133</v>
      </c>
    </row>
    <row r="3">
      <c r="A3" s="166" t="s">
        <v>516</v>
      </c>
      <c r="B3" s="166" t="s">
        <v>658</v>
      </c>
      <c r="C3" s="187">
        <f t="shared" si="1"/>
        <v>0.042845</v>
      </c>
      <c r="D3" s="188" t="str">
        <f t="shared" si="2"/>
        <v>15  noviembre  2022</v>
      </c>
      <c r="E3" s="189" t="str">
        <f t="shared" si="3"/>
        <v>2022 Q3</v>
      </c>
    </row>
    <row r="4">
      <c r="A4" s="166" t="s">
        <v>659</v>
      </c>
      <c r="B4" s="166" t="s">
        <v>660</v>
      </c>
      <c r="C4" s="187">
        <f t="shared" si="1"/>
        <v>0.129033</v>
      </c>
      <c r="D4" s="188" t="str">
        <f t="shared" si="2"/>
        <v>20  marzo  2020</v>
      </c>
      <c r="E4" s="189" t="str">
        <f t="shared" si="3"/>
        <v>2019 Q4</v>
      </c>
    </row>
    <row r="5">
      <c r="A5" s="166" t="s">
        <v>661</v>
      </c>
      <c r="B5" s="166" t="s">
        <v>662</v>
      </c>
      <c r="C5" s="187">
        <f t="shared" si="1"/>
        <v>0.063141</v>
      </c>
      <c r="D5" s="188" t="str">
        <f t="shared" si="2"/>
        <v>15  noviembre  2019</v>
      </c>
      <c r="E5" s="189" t="str">
        <f t="shared" si="3"/>
        <v>2019 Q3</v>
      </c>
    </row>
    <row r="6">
      <c r="A6" s="166" t="s">
        <v>281</v>
      </c>
      <c r="B6" s="166" t="s">
        <v>663</v>
      </c>
      <c r="C6" s="187">
        <f t="shared" si="1"/>
        <v>0.073944</v>
      </c>
      <c r="D6" s="188" t="str">
        <f t="shared" si="2"/>
        <v>16  agosto  2019</v>
      </c>
      <c r="E6" s="189" t="str">
        <f t="shared" si="3"/>
        <v>2019 Q2</v>
      </c>
    </row>
    <row r="7">
      <c r="A7" s="166" t="s">
        <v>295</v>
      </c>
      <c r="B7" s="166" t="s">
        <v>664</v>
      </c>
      <c r="C7" s="187">
        <f t="shared" si="1"/>
        <v>0.1569</v>
      </c>
      <c r="D7" s="188" t="str">
        <f t="shared" si="2"/>
        <v>16  mayo  2019</v>
      </c>
      <c r="E7" s="189" t="str">
        <f t="shared" si="3"/>
        <v>2019 Q1</v>
      </c>
    </row>
    <row r="8">
      <c r="A8" s="166" t="s">
        <v>306</v>
      </c>
      <c r="B8" s="166" t="s">
        <v>665</v>
      </c>
      <c r="C8" s="187">
        <f t="shared" si="1"/>
        <v>0.180606</v>
      </c>
      <c r="D8" s="188" t="str">
        <f t="shared" si="2"/>
        <v>15  marzo  2019</v>
      </c>
      <c r="E8" s="189" t="str">
        <f t="shared" si="3"/>
        <v>2018 Q4</v>
      </c>
    </row>
    <row r="9">
      <c r="A9" s="166" t="s">
        <v>319</v>
      </c>
      <c r="B9" s="166" t="s">
        <v>666</v>
      </c>
      <c r="C9" s="187">
        <f t="shared" si="1"/>
        <v>0.180492</v>
      </c>
      <c r="D9" s="188" t="str">
        <f t="shared" si="2"/>
        <v>14  noviembre  2018</v>
      </c>
      <c r="E9" s="189" t="str">
        <f t="shared" si="3"/>
        <v>2018 Q3</v>
      </c>
    </row>
    <row r="10">
      <c r="A10" s="166" t="s">
        <v>667</v>
      </c>
      <c r="B10" s="166" t="s">
        <v>668</v>
      </c>
      <c r="C10" s="187">
        <f t="shared" si="1"/>
        <v>0.210375</v>
      </c>
      <c r="D10" s="188" t="str">
        <f t="shared" si="2"/>
        <v>15  agosto  2018</v>
      </c>
      <c r="E10" s="189" t="str">
        <f t="shared" si="3"/>
        <v>2018 Q2</v>
      </c>
    </row>
    <row r="11">
      <c r="A11" s="166" t="s">
        <v>339</v>
      </c>
      <c r="B11" s="166" t="s">
        <v>669</v>
      </c>
      <c r="C11" s="187">
        <f t="shared" si="1"/>
        <v>0.25111</v>
      </c>
      <c r="D11" s="188" t="str">
        <f t="shared" si="2"/>
        <v>16  mayo  2018</v>
      </c>
      <c r="E11" s="189" t="str">
        <f t="shared" si="3"/>
        <v>2018 Q1</v>
      </c>
    </row>
    <row r="12">
      <c r="A12" s="166" t="s">
        <v>353</v>
      </c>
      <c r="B12" s="166" t="s">
        <v>670</v>
      </c>
      <c r="C12" s="187">
        <f t="shared" si="1"/>
        <v>0.251818</v>
      </c>
      <c r="D12" s="188" t="str">
        <f t="shared" si="2"/>
        <v>15  marzo  2018</v>
      </c>
      <c r="E12" s="189" t="str">
        <f t="shared" si="3"/>
        <v>2017 Q4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>
      <c r="A1" s="159" t="s">
        <v>83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  <c r="G1" s="159" t="s">
        <v>361</v>
      </c>
      <c r="H1" s="159" t="s">
        <v>362</v>
      </c>
      <c r="I1" s="159" t="s">
        <v>363</v>
      </c>
      <c r="J1" s="159" t="s">
        <v>364</v>
      </c>
      <c r="K1" s="159" t="s">
        <v>365</v>
      </c>
      <c r="L1" s="159" t="s">
        <v>366</v>
      </c>
      <c r="M1" s="159" t="s">
        <v>367</v>
      </c>
      <c r="N1" s="159" t="s">
        <v>368</v>
      </c>
      <c r="O1" s="159" t="s">
        <v>369</v>
      </c>
      <c r="P1" s="159" t="s">
        <v>370</v>
      </c>
      <c r="Q1" s="159" t="s">
        <v>371</v>
      </c>
      <c r="R1" s="159" t="s">
        <v>372</v>
      </c>
    </row>
    <row r="2" ht="13.5" customHeight="1">
      <c r="A2" s="160" t="s">
        <v>428</v>
      </c>
      <c r="B2" s="160"/>
      <c r="C2" s="167">
        <v>1.005586E9</v>
      </c>
      <c r="D2" s="167">
        <v>1.014727E9</v>
      </c>
      <c r="E2" s="167">
        <v>8.08657E8</v>
      </c>
      <c r="F2" s="167">
        <v>8.03953E8</v>
      </c>
      <c r="G2" s="167">
        <v>7.92774E8</v>
      </c>
      <c r="H2" s="167">
        <v>7.91655E8</v>
      </c>
      <c r="I2" s="167">
        <v>7.54062E8</v>
      </c>
      <c r="J2" s="167">
        <v>7.53092E8</v>
      </c>
      <c r="K2" s="167">
        <v>7.50469E8</v>
      </c>
      <c r="L2" s="167">
        <v>7.5019E8</v>
      </c>
      <c r="M2" s="167">
        <v>7.2959E8</v>
      </c>
      <c r="N2" s="167">
        <v>7.29081E8</v>
      </c>
      <c r="O2" s="167">
        <v>6.46975E8</v>
      </c>
      <c r="P2" s="167">
        <v>6.12497E8</v>
      </c>
      <c r="Q2" s="167">
        <v>5.211E8</v>
      </c>
      <c r="R2" s="167">
        <v>5.03678E8</v>
      </c>
    </row>
    <row r="3" ht="13.5" customHeight="1">
      <c r="A3" s="160" t="s">
        <v>429</v>
      </c>
      <c r="B3" s="160"/>
      <c r="C3" s="167">
        <v>1.005586E9</v>
      </c>
      <c r="D3" s="167">
        <v>1.014727E9</v>
      </c>
      <c r="E3" s="167">
        <v>8.08657E8</v>
      </c>
      <c r="F3" s="167">
        <v>8.03953E8</v>
      </c>
      <c r="G3" s="167">
        <v>7.92774E8</v>
      </c>
      <c r="H3" s="167">
        <v>7.91655E8</v>
      </c>
      <c r="I3" s="167">
        <v>7.54062E8</v>
      </c>
      <c r="J3" s="167">
        <v>7.53092E8</v>
      </c>
      <c r="K3" s="167">
        <v>7.50469E8</v>
      </c>
      <c r="L3" s="167">
        <v>7.5019E8</v>
      </c>
      <c r="M3" s="167">
        <v>7.2959E8</v>
      </c>
      <c r="N3" s="167">
        <v>7.29081E8</v>
      </c>
      <c r="O3" s="167">
        <v>6.46975E8</v>
      </c>
      <c r="P3" s="167">
        <v>6.12497E8</v>
      </c>
      <c r="Q3" s="167">
        <v>5.211E8</v>
      </c>
      <c r="R3" s="167">
        <v>5.03678E8</v>
      </c>
    </row>
    <row r="4" ht="13.5" customHeight="1">
      <c r="A4" s="160" t="s">
        <v>430</v>
      </c>
      <c r="B4" s="160"/>
      <c r="C4" s="167">
        <v>8.73131E8</v>
      </c>
      <c r="D4" s="167">
        <v>8.86591E8</v>
      </c>
      <c r="E4" s="167">
        <v>7.01174E8</v>
      </c>
      <c r="F4" s="167">
        <v>6.97384E8</v>
      </c>
      <c r="G4" s="167">
        <v>6.88222E8</v>
      </c>
      <c r="H4" s="167">
        <v>6.94936E8</v>
      </c>
      <c r="I4" s="167">
        <v>6.6371E8</v>
      </c>
      <c r="J4" s="167">
        <v>6.61555E8</v>
      </c>
      <c r="K4" s="167">
        <v>6.79262E8</v>
      </c>
      <c r="L4" s="167">
        <v>6.45636E8</v>
      </c>
      <c r="M4" s="167">
        <v>6.44986E8</v>
      </c>
      <c r="N4" s="167">
        <v>6.4528E8</v>
      </c>
      <c r="O4" s="167">
        <v>5.83577E8</v>
      </c>
      <c r="P4" s="167">
        <v>5.4009E8</v>
      </c>
      <c r="Q4" s="167">
        <v>4.27224E8</v>
      </c>
      <c r="R4" s="167">
        <v>4.43507E8</v>
      </c>
    </row>
    <row r="5" ht="13.5" customHeight="1">
      <c r="A5" s="160" t="s">
        <v>431</v>
      </c>
      <c r="B5" s="160"/>
      <c r="C5" s="169">
        <v>0.8683</v>
      </c>
      <c r="D5" s="169">
        <v>0.8737</v>
      </c>
      <c r="E5" s="169">
        <v>0.8671</v>
      </c>
      <c r="F5" s="169">
        <v>0.8674</v>
      </c>
      <c r="G5" s="169">
        <v>0.8681</v>
      </c>
      <c r="H5" s="169">
        <v>0.8778</v>
      </c>
      <c r="I5" s="169">
        <v>0.8802</v>
      </c>
      <c r="J5" s="169">
        <v>0.8785</v>
      </c>
      <c r="K5" s="205">
        <v>1.0</v>
      </c>
      <c r="L5" s="169">
        <v>0.8606</v>
      </c>
      <c r="M5" s="169">
        <v>0.884</v>
      </c>
      <c r="N5" s="169">
        <v>0.8851</v>
      </c>
      <c r="O5" s="169">
        <v>0.902</v>
      </c>
      <c r="P5" s="169">
        <v>0.8818</v>
      </c>
      <c r="Q5" s="169">
        <v>0.8199</v>
      </c>
      <c r="R5" s="169">
        <v>0.8805</v>
      </c>
    </row>
    <row r="6" ht="13.5" customHeight="1">
      <c r="A6" s="160" t="s">
        <v>432</v>
      </c>
      <c r="B6" s="160"/>
      <c r="C6" s="167">
        <v>7.22945E8</v>
      </c>
      <c r="D6" s="167">
        <v>7.47659E8</v>
      </c>
      <c r="E6" s="167">
        <v>6.70897E8</v>
      </c>
      <c r="F6" s="167">
        <v>7.02812E8</v>
      </c>
      <c r="G6" s="167">
        <v>6.86436E8</v>
      </c>
      <c r="H6" s="167">
        <v>6.89377E8</v>
      </c>
      <c r="I6" s="167">
        <v>6.75827E8</v>
      </c>
      <c r="J6" s="167">
        <v>6.75178E8</v>
      </c>
      <c r="K6" s="167">
        <v>6.70767E8</v>
      </c>
      <c r="L6" s="167">
        <v>6.38657E8</v>
      </c>
      <c r="M6" s="167">
        <v>6.53919E8</v>
      </c>
      <c r="N6" s="167">
        <v>6.5721E8</v>
      </c>
      <c r="O6" s="167">
        <v>6.56573E8</v>
      </c>
      <c r="P6" s="167">
        <v>6.24838E8</v>
      </c>
      <c r="Q6" s="167">
        <v>6.02743E8</v>
      </c>
      <c r="R6" s="167">
        <v>5.98307E8</v>
      </c>
    </row>
    <row r="7" ht="13.5" customHeight="1">
      <c r="A7" s="160" t="s">
        <v>433</v>
      </c>
      <c r="B7" s="160"/>
      <c r="C7" s="169">
        <v>0.7189</v>
      </c>
      <c r="D7" s="169">
        <v>0.7368</v>
      </c>
      <c r="E7" s="169">
        <v>0.8296</v>
      </c>
      <c r="F7" s="169">
        <v>0.8742</v>
      </c>
      <c r="G7" s="169">
        <v>0.8659</v>
      </c>
      <c r="H7" s="169">
        <v>0.8708</v>
      </c>
      <c r="I7" s="169">
        <v>0.8962</v>
      </c>
      <c r="J7" s="169">
        <v>0.8965</v>
      </c>
      <c r="K7" s="169">
        <v>0.8938</v>
      </c>
      <c r="L7" s="169">
        <v>0.8513</v>
      </c>
      <c r="M7" s="169">
        <v>0.8963</v>
      </c>
      <c r="N7" s="169">
        <v>0.9014</v>
      </c>
      <c r="O7" s="169">
        <v>1.0148</v>
      </c>
      <c r="P7" s="169">
        <v>1.0201</v>
      </c>
      <c r="Q7" s="169">
        <v>1.1567</v>
      </c>
      <c r="R7" s="169">
        <v>1.1879</v>
      </c>
    </row>
    <row r="8" ht="13.5" customHeight="1">
      <c r="A8" s="160" t="s">
        <v>434</v>
      </c>
      <c r="B8" s="160"/>
      <c r="C8" s="161">
        <v>0.59</v>
      </c>
      <c r="D8" s="161">
        <v>0.61</v>
      </c>
      <c r="E8" s="161">
        <v>0.55</v>
      </c>
      <c r="F8" s="161">
        <v>0.57</v>
      </c>
      <c r="G8" s="161">
        <v>0.56</v>
      </c>
      <c r="H8" s="161">
        <v>0.56</v>
      </c>
      <c r="I8" s="161">
        <v>0.55</v>
      </c>
      <c r="J8" s="161">
        <v>0.55</v>
      </c>
      <c r="K8" s="161">
        <v>0.55</v>
      </c>
      <c r="L8" s="161">
        <v>0.52</v>
      </c>
      <c r="M8" s="161">
        <v>0.53</v>
      </c>
      <c r="N8" s="161">
        <v>0.54</v>
      </c>
      <c r="O8" s="161">
        <v>0.53</v>
      </c>
      <c r="P8" s="161">
        <v>0.51</v>
      </c>
      <c r="Q8" s="161">
        <v>0.49</v>
      </c>
      <c r="R8" s="161">
        <v>0.49</v>
      </c>
    </row>
    <row r="9" ht="13.5" customHeight="1">
      <c r="A9" s="160" t="s">
        <v>435</v>
      </c>
      <c r="B9" s="160"/>
      <c r="C9" s="161">
        <v>6.9094763076E8</v>
      </c>
      <c r="D9" s="161">
        <v>7.0690162123E8</v>
      </c>
      <c r="E9" s="161">
        <v>7.0284786359E8</v>
      </c>
      <c r="F9" s="161">
        <v>7.0137150624E8</v>
      </c>
      <c r="G9" s="161">
        <v>7.0037649198E8</v>
      </c>
      <c r="H9" s="161">
        <v>6.9988124686E8</v>
      </c>
      <c r="I9" s="161">
        <v>6.8686565954E8</v>
      </c>
      <c r="J9" s="161">
        <v>6.8366863718E8</v>
      </c>
      <c r="K9" s="161">
        <v>6.8576740412E8</v>
      </c>
      <c r="L9" s="161">
        <v>6.8375122406E8</v>
      </c>
      <c r="M9" s="161">
        <v>6.3661866985E8</v>
      </c>
      <c r="N9" s="161">
        <v>6.3734333503E8</v>
      </c>
      <c r="O9" s="161">
        <v>6.5648303103E8</v>
      </c>
      <c r="P9" s="161">
        <v>6.2483745439E8</v>
      </c>
      <c r="Q9" s="161">
        <v>6.0273362458E8</v>
      </c>
      <c r="R9" s="161">
        <v>5.9830554702E8</v>
      </c>
    </row>
    <row r="10" ht="13.5" customHeight="1">
      <c r="A10" s="160" t="s">
        <v>154</v>
      </c>
      <c r="B10" s="194">
        <f t="array" ref="B10">IF(SUMIFS(INDIRECT("'"&amp;A$1&amp;"_DIV'!"&amp;"C:C"),INDIRECT("'"&amp;A$1&amp;"_DIV'!"&amp;"E:E"),B1)=0,"",SUMIFS(INDIRECT("'"&amp;A$1&amp;"_DIV'!"&amp;"C:C"),INDIRECT("'"&amp;A$1&amp;"_DIV'!"&amp;"E:E"),B1))</f>
        <v>0.5702</v>
      </c>
      <c r="C10" s="194">
        <f t="array" ref="C10">SUMIFS(INDIRECT("'"&amp;A$1&amp;"_DIV'!"&amp;"C:C"),INDIRECT("'"&amp;A$1&amp;"_DIV'!"&amp;"E:E"),C1)</f>
        <v>0.562886</v>
      </c>
      <c r="D10" s="194">
        <f t="array" ref="D10">SUMIFS(INDIRECT("'"&amp;A$1&amp;"_DIV'!"&amp;"C:C"),INDIRECT("'"&amp;A$1&amp;"_DIV'!"&amp;"E:E"),D1)</f>
        <v>0.575904</v>
      </c>
      <c r="E10" s="194">
        <f t="array" ref="E10">SUMIFS(INDIRECT("'"&amp;A$1&amp;"_DIV'!"&amp;"C:C"),INDIRECT("'"&amp;A$1&amp;"_DIV'!"&amp;"E:E"),E1)</f>
        <v>0.572638</v>
      </c>
      <c r="F10" s="194">
        <f t="array" ref="F10">SUMIFS(INDIRECT("'"&amp;A$1&amp;"_DIV'!"&amp;"C:C"),INDIRECT("'"&amp;A$1&amp;"_DIV'!"&amp;"E:E"),F1)</f>
        <v>0.571389</v>
      </c>
      <c r="G10" s="161">
        <v>0.57</v>
      </c>
      <c r="H10" s="161">
        <v>0.57</v>
      </c>
      <c r="I10" s="161">
        <v>0.56</v>
      </c>
      <c r="J10" s="161">
        <v>0.56</v>
      </c>
      <c r="K10" s="161">
        <v>0.56</v>
      </c>
      <c r="L10" s="161">
        <v>0.56</v>
      </c>
      <c r="M10" s="161">
        <v>0.52</v>
      </c>
      <c r="N10" s="161">
        <v>0.52</v>
      </c>
      <c r="O10" s="161">
        <v>0.53</v>
      </c>
      <c r="P10" s="161">
        <v>0.51</v>
      </c>
      <c r="Q10" s="161">
        <v>0.49</v>
      </c>
      <c r="R10" s="161">
        <v>0.49</v>
      </c>
    </row>
    <row r="11" ht="13.5" customHeight="1">
      <c r="A11" s="160" t="s">
        <v>436</v>
      </c>
      <c r="B11" s="160"/>
      <c r="C11" s="171">
        <v>1.22747847E9</v>
      </c>
      <c r="D11" s="171">
        <v>1.227472862E9</v>
      </c>
      <c r="E11" s="171">
        <v>1.227467453E9</v>
      </c>
      <c r="F11" s="171">
        <v>1.227461509E9</v>
      </c>
      <c r="G11" s="171">
        <v>1.227438647E9</v>
      </c>
      <c r="H11" s="171">
        <v>1.227431159E9</v>
      </c>
      <c r="I11" s="171">
        <v>1.227422551E9</v>
      </c>
      <c r="J11" s="171">
        <v>1.227412275E9</v>
      </c>
      <c r="K11" s="171">
        <v>1.227374736E9</v>
      </c>
      <c r="L11" s="171">
        <v>1.227364432E9</v>
      </c>
      <c r="M11" s="171">
        <v>1.22735394E9</v>
      </c>
      <c r="N11" s="171">
        <v>1.227312411E9</v>
      </c>
      <c r="O11" s="171">
        <v>1.227300488E9</v>
      </c>
      <c r="P11" s="171">
        <v>1.227286744E9</v>
      </c>
      <c r="Q11" s="171">
        <v>1.227263448E9</v>
      </c>
      <c r="R11" s="171">
        <v>1.227248116E9</v>
      </c>
    </row>
    <row r="12" ht="13.5" customHeight="1">
      <c r="A12" s="172" t="s">
        <v>382</v>
      </c>
      <c r="B12" s="173"/>
      <c r="C12" s="173">
        <v>0.1141</v>
      </c>
      <c r="D12" s="173">
        <v>0.1199</v>
      </c>
      <c r="E12" s="173"/>
      <c r="F12" s="173"/>
      <c r="G12" s="173"/>
      <c r="H12" s="173"/>
      <c r="I12" s="173"/>
    </row>
    <row r="13" ht="13.5" customHeight="1">
      <c r="A13" s="179" t="s">
        <v>383</v>
      </c>
      <c r="B13" s="196"/>
      <c r="C13" s="176">
        <v>6.137155795E10</v>
      </c>
      <c r="D13" s="176">
        <v>6.27238632482E10</v>
      </c>
      <c r="E13" s="176"/>
      <c r="F13" s="176"/>
      <c r="G13" s="176"/>
      <c r="H13" s="176"/>
      <c r="I13" s="196"/>
    </row>
    <row r="14" ht="13.5" customHeight="1">
      <c r="A14" s="179" t="s">
        <v>438</v>
      </c>
      <c r="B14" s="173"/>
      <c r="C14" s="173">
        <v>1.0945</v>
      </c>
      <c r="D14" s="173">
        <v>1.1119</v>
      </c>
      <c r="E14" s="173"/>
      <c r="F14" s="173"/>
      <c r="G14" s="173"/>
      <c r="H14" s="173"/>
      <c r="I14" s="173"/>
    </row>
    <row r="15" ht="13.5" customHeight="1">
      <c r="A15" s="179" t="s">
        <v>439</v>
      </c>
      <c r="B15" s="173"/>
      <c r="C15" s="173">
        <v>0.1529</v>
      </c>
      <c r="D15" s="173">
        <v>0.1583</v>
      </c>
      <c r="F15" s="173"/>
      <c r="G15" s="173"/>
      <c r="H15" s="173"/>
      <c r="I15" s="173"/>
    </row>
    <row r="16" ht="13.5" customHeight="1">
      <c r="A16" s="179" t="s">
        <v>440</v>
      </c>
      <c r="B16" s="173"/>
      <c r="C16" s="173">
        <v>0.0456</v>
      </c>
      <c r="D16" s="173">
        <v>0.0451</v>
      </c>
      <c r="E16" s="173"/>
      <c r="F16" s="173"/>
      <c r="G16" s="173"/>
      <c r="H16" s="173"/>
      <c r="I16" s="173"/>
    </row>
    <row r="17" ht="13.5" customHeight="1">
      <c r="A17" s="179" t="s">
        <v>389</v>
      </c>
      <c r="B17" s="198"/>
      <c r="C17" s="198">
        <v>25.3</v>
      </c>
      <c r="D17" s="198">
        <v>24.2</v>
      </c>
      <c r="E17" s="198"/>
      <c r="F17" s="198"/>
      <c r="G17" s="198"/>
      <c r="H17" s="198"/>
      <c r="I17" s="198"/>
    </row>
    <row r="18" ht="13.5" customHeight="1">
      <c r="A18" s="179" t="s">
        <v>390</v>
      </c>
      <c r="B18" s="200"/>
      <c r="C18" s="200">
        <v>0.0923</v>
      </c>
      <c r="D18" s="200">
        <v>0.0854</v>
      </c>
      <c r="E18" s="200"/>
      <c r="F18" s="200"/>
      <c r="G18" s="200"/>
      <c r="H18" s="200"/>
      <c r="I18" s="200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25.14"/>
  </cols>
  <sheetData>
    <row r="1">
      <c r="A1" s="166" t="s">
        <v>129</v>
      </c>
      <c r="B1" s="166" t="s">
        <v>155</v>
      </c>
    </row>
    <row r="2">
      <c r="A2" s="103" t="s">
        <v>671</v>
      </c>
      <c r="B2" s="103" t="s">
        <v>672</v>
      </c>
      <c r="C2" s="187">
        <f t="shared" ref="C2:C22" si="1">VALUE(SUBSTITUTE(SUBSTITUTE(B2,"MXN $",""),"",""))</f>
        <v>0.3344</v>
      </c>
      <c r="D2" s="188" t="str">
        <f t="shared" ref="D2:D22" si="2">SUBSTITUTE(SUBSTITUTE(A2,"de",""),"","")</f>
        <v>15  mayo  2023</v>
      </c>
      <c r="E2" s="189" t="str">
        <f t="shared" ref="E2:E22" si="3">IF(IF(ROUNDUP(MONTH(D2)/3,0)-1=0,4,ROUNDUP(MONTH(D2)/3,0)-1)=4,YEAR(D2)-1,YEAR(D2)) &amp; " Q" &amp; IF(ROUNDUP(MONTH(D2)/3,0)-1=0,4,ROUNDUP(MONTH(D2)/3,0)-1)</f>
        <v>2023 Q1</v>
      </c>
      <c r="F2" s="212" t="s">
        <v>132</v>
      </c>
    </row>
    <row r="3">
      <c r="A3" s="103" t="s">
        <v>671</v>
      </c>
      <c r="B3" s="103" t="s">
        <v>673</v>
      </c>
      <c r="C3" s="187">
        <f t="shared" si="1"/>
        <v>0.2358</v>
      </c>
      <c r="D3" s="188" t="str">
        <f t="shared" si="2"/>
        <v>15  mayo  2023</v>
      </c>
      <c r="E3" s="189" t="str">
        <f t="shared" si="3"/>
        <v>2023 Q1</v>
      </c>
      <c r="F3" s="212" t="s">
        <v>133</v>
      </c>
    </row>
    <row r="4">
      <c r="A4" s="166" t="s">
        <v>162</v>
      </c>
      <c r="B4" s="166" t="s">
        <v>674</v>
      </c>
      <c r="C4" s="187">
        <f t="shared" si="1"/>
        <v>0.562886</v>
      </c>
      <c r="D4" s="188" t="str">
        <f t="shared" si="2"/>
        <v>8  marzo  2023</v>
      </c>
      <c r="E4" s="189" t="str">
        <f t="shared" si="3"/>
        <v>2022 Q4</v>
      </c>
    </row>
    <row r="5">
      <c r="A5" s="166" t="s">
        <v>176</v>
      </c>
      <c r="B5" s="166" t="s">
        <v>675</v>
      </c>
      <c r="C5" s="187">
        <f t="shared" si="1"/>
        <v>0.575904</v>
      </c>
      <c r="D5" s="188" t="str">
        <f t="shared" si="2"/>
        <v>9  noviembre  2022</v>
      </c>
      <c r="E5" s="189" t="str">
        <f t="shared" si="3"/>
        <v>2022 Q3</v>
      </c>
    </row>
    <row r="6">
      <c r="A6" s="166" t="s">
        <v>676</v>
      </c>
      <c r="B6" s="166" t="s">
        <v>677</v>
      </c>
      <c r="C6" s="187">
        <f t="shared" si="1"/>
        <v>0.572638</v>
      </c>
      <c r="D6" s="188" t="str">
        <f t="shared" si="2"/>
        <v>2  agosto  2022</v>
      </c>
      <c r="E6" s="189" t="str">
        <f t="shared" si="3"/>
        <v>2022 Q2</v>
      </c>
    </row>
    <row r="7">
      <c r="A7" s="166" t="s">
        <v>678</v>
      </c>
      <c r="B7" s="166" t="s">
        <v>679</v>
      </c>
      <c r="C7" s="187">
        <f t="shared" si="1"/>
        <v>0.571389</v>
      </c>
      <c r="D7" s="188" t="str">
        <f t="shared" si="2"/>
        <v>13  mayo  2022</v>
      </c>
      <c r="E7" s="189" t="str">
        <f t="shared" si="3"/>
        <v>2022 Q1</v>
      </c>
    </row>
    <row r="8">
      <c r="A8" s="166" t="s">
        <v>680</v>
      </c>
      <c r="B8" s="166" t="s">
        <v>681</v>
      </c>
      <c r="C8" s="187">
        <f t="shared" si="1"/>
        <v>0.570638</v>
      </c>
      <c r="D8" s="188" t="str">
        <f t="shared" si="2"/>
        <v>8  marzo  2022</v>
      </c>
      <c r="E8" s="189" t="str">
        <f t="shared" si="3"/>
        <v>2021 Q4</v>
      </c>
    </row>
    <row r="9">
      <c r="A9" s="166" t="s">
        <v>402</v>
      </c>
      <c r="B9" s="166" t="s">
        <v>682</v>
      </c>
      <c r="C9" s="187">
        <f t="shared" si="1"/>
        <v>0.570193</v>
      </c>
      <c r="D9" s="188" t="str">
        <f t="shared" si="2"/>
        <v>9  noviembre  2021</v>
      </c>
      <c r="E9" s="189" t="str">
        <f t="shared" si="3"/>
        <v>2021 Q3</v>
      </c>
    </row>
    <row r="10">
      <c r="A10" s="166" t="s">
        <v>683</v>
      </c>
      <c r="B10" s="166" t="s">
        <v>684</v>
      </c>
      <c r="C10" s="187">
        <f t="shared" si="1"/>
        <v>0.559565</v>
      </c>
      <c r="D10" s="188" t="str">
        <f t="shared" si="2"/>
        <v>5  agosto  2021</v>
      </c>
      <c r="E10" s="189" t="str">
        <f t="shared" si="3"/>
        <v>2021 Q2</v>
      </c>
    </row>
    <row r="11">
      <c r="A11" s="166" t="s">
        <v>685</v>
      </c>
      <c r="B11" s="166" t="s">
        <v>686</v>
      </c>
      <c r="C11" s="187">
        <f t="shared" si="1"/>
        <v>0.557003</v>
      </c>
      <c r="D11" s="188" t="str">
        <f t="shared" si="2"/>
        <v>13  mayo  2021</v>
      </c>
      <c r="E11" s="189" t="str">
        <f t="shared" si="3"/>
        <v>2021 Q1</v>
      </c>
    </row>
    <row r="12">
      <c r="A12" s="166" t="s">
        <v>687</v>
      </c>
      <c r="B12" s="166" t="s">
        <v>688</v>
      </c>
      <c r="C12" s="187">
        <f t="shared" si="1"/>
        <v>0.558709</v>
      </c>
      <c r="D12" s="188" t="str">
        <f t="shared" si="2"/>
        <v>4  marzo  2021</v>
      </c>
      <c r="E12" s="189" t="str">
        <f t="shared" si="3"/>
        <v>2020 Q4</v>
      </c>
    </row>
    <row r="13">
      <c r="A13" s="166" t="s">
        <v>243</v>
      </c>
      <c r="B13" s="166" t="s">
        <v>689</v>
      </c>
      <c r="C13" s="187">
        <f t="shared" si="1"/>
        <v>0.557089</v>
      </c>
      <c r="D13" s="188" t="str">
        <f t="shared" si="2"/>
        <v>4  noviembre  2020</v>
      </c>
      <c r="E13" s="189" t="str">
        <f t="shared" si="3"/>
        <v>2020 Q3</v>
      </c>
    </row>
    <row r="14">
      <c r="A14" s="166" t="s">
        <v>690</v>
      </c>
      <c r="B14" s="166" t="s">
        <v>691</v>
      </c>
      <c r="C14" s="187">
        <f t="shared" si="1"/>
        <v>0.518688</v>
      </c>
      <c r="D14" s="188" t="str">
        <f t="shared" si="2"/>
        <v>7  agosto  2020</v>
      </c>
      <c r="E14" s="189" t="str">
        <f t="shared" si="3"/>
        <v>2020 Q2</v>
      </c>
    </row>
    <row r="15">
      <c r="A15" s="166" t="s">
        <v>692</v>
      </c>
      <c r="B15" s="166" t="s">
        <v>693</v>
      </c>
      <c r="C15" s="187">
        <f t="shared" si="1"/>
        <v>0.51935</v>
      </c>
      <c r="D15" s="188" t="str">
        <f t="shared" si="2"/>
        <v>28  abril  2020</v>
      </c>
      <c r="E15" s="189" t="str">
        <f t="shared" si="3"/>
        <v>2020 Q1</v>
      </c>
    </row>
    <row r="16">
      <c r="A16" s="166" t="s">
        <v>694</v>
      </c>
      <c r="B16" s="166" t="s">
        <v>695</v>
      </c>
      <c r="C16" s="187">
        <f t="shared" si="1"/>
        <v>0.534968</v>
      </c>
      <c r="D16" s="188" t="str">
        <f t="shared" si="2"/>
        <v>21  febrero  2020</v>
      </c>
      <c r="E16" s="189" t="str">
        <f t="shared" si="3"/>
        <v>2019 Q4</v>
      </c>
    </row>
    <row r="17">
      <c r="A17" s="166" t="s">
        <v>696</v>
      </c>
      <c r="B17" s="166" t="s">
        <v>697</v>
      </c>
      <c r="C17" s="187">
        <f t="shared" si="1"/>
        <v>0.509116</v>
      </c>
      <c r="D17" s="188" t="str">
        <f t="shared" si="2"/>
        <v>26  noviembre  2019</v>
      </c>
      <c r="E17" s="189" t="str">
        <f t="shared" si="3"/>
        <v>2019 Q3</v>
      </c>
    </row>
    <row r="18">
      <c r="A18" s="166" t="s">
        <v>698</v>
      </c>
      <c r="B18" s="166" t="s">
        <v>699</v>
      </c>
      <c r="C18" s="187">
        <f t="shared" si="1"/>
        <v>0.491119</v>
      </c>
      <c r="D18" s="188" t="str">
        <f t="shared" si="2"/>
        <v>20  agosto  2019</v>
      </c>
      <c r="E18" s="189" t="str">
        <f t="shared" si="3"/>
        <v>2019 Q2</v>
      </c>
    </row>
    <row r="19">
      <c r="A19" s="166" t="s">
        <v>700</v>
      </c>
      <c r="B19" s="166" t="s">
        <v>701</v>
      </c>
      <c r="C19" s="187">
        <f t="shared" si="1"/>
        <v>0.487512</v>
      </c>
      <c r="D19" s="188" t="str">
        <f t="shared" si="2"/>
        <v>20  mayo  2019</v>
      </c>
      <c r="E19" s="189" t="str">
        <f t="shared" si="3"/>
        <v>2019 Q1</v>
      </c>
    </row>
    <row r="20">
      <c r="A20" s="166" t="s">
        <v>702</v>
      </c>
      <c r="B20" s="166" t="s">
        <v>703</v>
      </c>
      <c r="C20" s="187">
        <f t="shared" si="1"/>
        <v>0.481653</v>
      </c>
      <c r="D20" s="188" t="str">
        <f t="shared" si="2"/>
        <v>25  febrero  2019</v>
      </c>
      <c r="E20" s="189" t="str">
        <f t="shared" si="3"/>
        <v>2018 Q4</v>
      </c>
    </row>
    <row r="21">
      <c r="A21" s="166" t="s">
        <v>704</v>
      </c>
      <c r="B21" s="166" t="s">
        <v>705</v>
      </c>
      <c r="C21" s="187">
        <f t="shared" si="1"/>
        <v>0.371951</v>
      </c>
      <c r="D21" s="188" t="str">
        <f t="shared" si="2"/>
        <v>26  noviembre  2018</v>
      </c>
      <c r="E21" s="189" t="str">
        <f t="shared" si="3"/>
        <v>2018 Q3</v>
      </c>
    </row>
    <row r="22">
      <c r="A22" s="166" t="s">
        <v>704</v>
      </c>
      <c r="B22" s="166" t="s">
        <v>706</v>
      </c>
      <c r="C22" s="187">
        <f t="shared" si="1"/>
        <v>0.112544</v>
      </c>
      <c r="D22" s="188" t="str">
        <f t="shared" si="2"/>
        <v>26  noviembre  2018</v>
      </c>
      <c r="E22" s="189" t="str">
        <f t="shared" si="3"/>
        <v>2018 Q3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>
      <c r="A1" s="159" t="s">
        <v>71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  <c r="G1" s="159" t="s">
        <v>361</v>
      </c>
      <c r="H1" s="159" t="s">
        <v>362</v>
      </c>
      <c r="I1" s="159" t="s">
        <v>363</v>
      </c>
      <c r="J1" s="159" t="s">
        <v>364</v>
      </c>
      <c r="K1" s="159" t="s">
        <v>365</v>
      </c>
      <c r="L1" s="159" t="s">
        <v>366</v>
      </c>
      <c r="M1" s="159" t="s">
        <v>367</v>
      </c>
      <c r="N1" s="159" t="s">
        <v>368</v>
      </c>
      <c r="O1" s="159" t="s">
        <v>369</v>
      </c>
      <c r="P1" s="159" t="s">
        <v>370</v>
      </c>
      <c r="Q1" s="159" t="s">
        <v>371</v>
      </c>
      <c r="R1" s="159" t="s">
        <v>372</v>
      </c>
    </row>
    <row r="2" ht="13.5" customHeight="1">
      <c r="A2" s="160" t="s">
        <v>428</v>
      </c>
      <c r="B2" s="191">
        <v>3.95168E8</v>
      </c>
      <c r="C2" s="167">
        <v>3.97952E8</v>
      </c>
      <c r="D2" s="167">
        <v>3.35263E8</v>
      </c>
      <c r="E2" s="167">
        <v>3.04974E8</v>
      </c>
      <c r="F2" s="167">
        <v>2.91171E8</v>
      </c>
      <c r="G2" s="167">
        <v>2.94916E8</v>
      </c>
      <c r="H2" s="167">
        <v>2.82399E8</v>
      </c>
      <c r="I2" s="167">
        <v>2.65243E8</v>
      </c>
      <c r="J2" s="167">
        <v>2.63569E8</v>
      </c>
      <c r="K2" s="167">
        <v>3.01125E8</v>
      </c>
      <c r="L2" s="167">
        <v>2.63752E8</v>
      </c>
      <c r="M2" s="167">
        <v>2.41448E8</v>
      </c>
      <c r="N2" s="167">
        <v>3.20102E8</v>
      </c>
      <c r="O2" s="167">
        <v>3.40619E8</v>
      </c>
      <c r="P2" s="167">
        <v>3.3541E8</v>
      </c>
      <c r="Q2" s="167">
        <v>3.28422E8</v>
      </c>
      <c r="R2" s="167">
        <v>3.10522E8</v>
      </c>
    </row>
    <row r="3" ht="13.5" customHeight="1">
      <c r="A3" s="160" t="s">
        <v>429</v>
      </c>
      <c r="B3" s="191">
        <v>5.23319E8</v>
      </c>
      <c r="C3" s="167">
        <v>5.1278E8</v>
      </c>
      <c r="D3" s="167">
        <v>4.15523E8</v>
      </c>
      <c r="E3" s="167">
        <v>3.80517E8</v>
      </c>
      <c r="F3" s="167">
        <v>3.62057E8</v>
      </c>
      <c r="G3" s="167">
        <v>3.87269E8</v>
      </c>
      <c r="H3" s="167">
        <v>3.60049E8</v>
      </c>
      <c r="I3" s="167">
        <v>3.41977E8</v>
      </c>
      <c r="J3" s="167">
        <v>3.36335E8</v>
      </c>
      <c r="K3" s="167">
        <v>3.75223E8</v>
      </c>
      <c r="L3" s="167">
        <v>3.24294E8</v>
      </c>
      <c r="M3" s="167">
        <v>2.974E8</v>
      </c>
      <c r="N3" s="167">
        <v>3.7588E8</v>
      </c>
      <c r="O3" s="167">
        <v>3.90045E8</v>
      </c>
      <c r="P3" s="167">
        <v>3.8356E8</v>
      </c>
      <c r="Q3" s="167">
        <v>3.75815E8</v>
      </c>
      <c r="R3" s="167">
        <v>3.64304E8</v>
      </c>
    </row>
    <row r="4" ht="13.5" customHeight="1">
      <c r="A4" s="160" t="s">
        <v>430</v>
      </c>
      <c r="B4" s="191">
        <v>4.1271E8</v>
      </c>
      <c r="C4" s="167">
        <v>3.9812E8</v>
      </c>
      <c r="D4" s="167">
        <v>3.2269E8</v>
      </c>
      <c r="E4" s="167">
        <v>2.9467E8</v>
      </c>
      <c r="F4" s="167">
        <v>2.7639E8</v>
      </c>
      <c r="G4" s="167">
        <v>3.0043E8</v>
      </c>
      <c r="H4" s="167">
        <v>2.7366E8</v>
      </c>
      <c r="I4" s="167">
        <v>2.5856E8</v>
      </c>
      <c r="J4" s="167">
        <v>2.5522E8</v>
      </c>
      <c r="K4" s="167">
        <v>2.844E8</v>
      </c>
      <c r="L4" s="167">
        <v>2.425E8</v>
      </c>
      <c r="M4" s="167">
        <v>2.2848E8</v>
      </c>
      <c r="N4" s="167">
        <v>2.8448E8</v>
      </c>
      <c r="O4" s="167">
        <v>2.98917E8</v>
      </c>
      <c r="P4" s="167">
        <v>2.6741E8</v>
      </c>
      <c r="Q4" s="167">
        <v>2.8912E8</v>
      </c>
      <c r="R4" s="167">
        <v>2.74721E8</v>
      </c>
    </row>
    <row r="5" ht="13.5" customHeight="1">
      <c r="A5" s="160" t="s">
        <v>431</v>
      </c>
      <c r="B5" s="192">
        <v>0.7886</v>
      </c>
      <c r="C5" s="169">
        <v>0.7764</v>
      </c>
      <c r="D5" s="169">
        <v>0.7766</v>
      </c>
      <c r="E5" s="169">
        <v>0.7744</v>
      </c>
      <c r="F5" s="169">
        <v>0.7634</v>
      </c>
      <c r="G5" s="169">
        <v>0.7758</v>
      </c>
      <c r="H5" s="169">
        <v>0.7601</v>
      </c>
      <c r="I5" s="169">
        <v>0.7561</v>
      </c>
      <c r="J5" s="169">
        <v>0.7588</v>
      </c>
      <c r="K5" s="169">
        <v>0.8341</v>
      </c>
      <c r="L5" s="169">
        <v>0.7478</v>
      </c>
      <c r="M5" s="169">
        <v>0.7683</v>
      </c>
      <c r="N5" s="169">
        <v>0.7568</v>
      </c>
      <c r="O5" s="169">
        <v>0.7664</v>
      </c>
      <c r="P5" s="169">
        <v>0.6972</v>
      </c>
      <c r="Q5" s="169">
        <v>0.7693</v>
      </c>
      <c r="R5" s="169">
        <v>0.7541</v>
      </c>
    </row>
    <row r="6" ht="13.5" customHeight="1">
      <c r="A6" s="160" t="s">
        <v>432</v>
      </c>
      <c r="B6" s="191">
        <v>9.012E7</v>
      </c>
      <c r="C6" s="167">
        <v>1.0734E8</v>
      </c>
      <c r="D6" s="167">
        <v>1.0926E8</v>
      </c>
      <c r="E6" s="167">
        <v>1.0333E8</v>
      </c>
      <c r="F6" s="167">
        <v>1.1446E8</v>
      </c>
      <c r="G6" s="167">
        <v>1.4117E8</v>
      </c>
      <c r="H6" s="167">
        <v>1.2563E8</v>
      </c>
      <c r="I6" s="167">
        <v>1.1931E8</v>
      </c>
      <c r="J6" s="167">
        <v>1.1755E8</v>
      </c>
      <c r="K6" s="167">
        <v>1.2238E8</v>
      </c>
      <c r="L6" s="167">
        <v>1.039E8</v>
      </c>
      <c r="M6" s="167">
        <v>7.776E7</v>
      </c>
      <c r="N6" s="167">
        <v>1.3624E8</v>
      </c>
      <c r="O6" s="167">
        <v>1.5059E8</v>
      </c>
      <c r="P6" s="167">
        <v>1.4042E8</v>
      </c>
      <c r="Q6" s="167">
        <v>1.3162E8</v>
      </c>
      <c r="R6" s="167">
        <v>1.2589E8</v>
      </c>
    </row>
    <row r="7" ht="13.5" customHeight="1">
      <c r="A7" s="160" t="s">
        <v>433</v>
      </c>
      <c r="B7" s="192">
        <v>0.1722</v>
      </c>
      <c r="C7" s="169">
        <v>0.2093</v>
      </c>
      <c r="D7" s="169">
        <v>0.2629</v>
      </c>
      <c r="E7" s="169">
        <v>0.2716</v>
      </c>
      <c r="F7" s="169">
        <v>0.3161</v>
      </c>
      <c r="G7" s="169">
        <v>0.3645</v>
      </c>
      <c r="H7" s="169">
        <v>0.3489</v>
      </c>
      <c r="I7" s="169">
        <v>0.3489</v>
      </c>
      <c r="J7" s="169">
        <v>0.3495</v>
      </c>
      <c r="K7" s="169">
        <v>0.3262</v>
      </c>
      <c r="L7" s="169">
        <v>0.329</v>
      </c>
      <c r="M7" s="169">
        <v>0.289</v>
      </c>
      <c r="N7" s="205">
        <v>0.0</v>
      </c>
      <c r="O7" s="169">
        <v>0.386</v>
      </c>
      <c r="P7" s="169">
        <v>0.366</v>
      </c>
      <c r="Q7" s="205">
        <v>0.35</v>
      </c>
      <c r="R7" s="169">
        <v>0.345</v>
      </c>
    </row>
    <row r="8" ht="13.5" customHeight="1">
      <c r="A8" s="160" t="s">
        <v>434</v>
      </c>
      <c r="B8" s="193">
        <v>0.18</v>
      </c>
      <c r="C8" s="161">
        <v>0.22</v>
      </c>
      <c r="D8" s="161">
        <v>0.22</v>
      </c>
      <c r="E8" s="161">
        <v>0.21</v>
      </c>
      <c r="F8" s="161">
        <v>0.23</v>
      </c>
      <c r="G8" s="161">
        <v>0.28</v>
      </c>
      <c r="H8" s="161">
        <v>0.25</v>
      </c>
      <c r="I8" s="161">
        <v>0.24</v>
      </c>
      <c r="J8" s="161">
        <v>0.24</v>
      </c>
      <c r="K8" s="161">
        <v>0.25</v>
      </c>
      <c r="L8" s="161">
        <v>0.23</v>
      </c>
      <c r="M8" s="161">
        <v>0.19</v>
      </c>
      <c r="N8" s="167">
        <v>0.0</v>
      </c>
      <c r="O8" s="161">
        <v>0.33</v>
      </c>
      <c r="P8" s="161">
        <v>0.31</v>
      </c>
      <c r="Q8" s="161">
        <v>0.26</v>
      </c>
      <c r="R8" s="161">
        <v>0.25</v>
      </c>
    </row>
    <row r="9" ht="13.5" customHeight="1">
      <c r="A9" s="160" t="s">
        <v>435</v>
      </c>
      <c r="B9" s="191">
        <v>0.0</v>
      </c>
      <c r="C9" s="167">
        <v>0.0</v>
      </c>
      <c r="D9" s="167">
        <v>0.0</v>
      </c>
      <c r="E9" s="167">
        <v>0.0</v>
      </c>
      <c r="F9" s="167">
        <v>0.0</v>
      </c>
      <c r="G9" s="161">
        <v>5.440970187E7</v>
      </c>
      <c r="H9" s="161">
        <v>8.163944288E7</v>
      </c>
      <c r="I9" s="161">
        <v>8.163944288E7</v>
      </c>
      <c r="J9" s="161">
        <v>8.163944288E7</v>
      </c>
      <c r="K9" s="161">
        <v>8.158967716E7</v>
      </c>
      <c r="L9" s="161">
        <v>6.998497833E7</v>
      </c>
      <c r="M9" s="161">
        <v>6.001888287E7</v>
      </c>
      <c r="N9" s="161">
        <v>5.001695794E7</v>
      </c>
      <c r="O9" s="161">
        <v>1.0012291403E8</v>
      </c>
      <c r="P9" s="161">
        <v>1.0012291403E8</v>
      </c>
      <c r="Q9" s="161">
        <v>1.0879622506E8</v>
      </c>
      <c r="R9" s="161">
        <v>1.2588990183E8</v>
      </c>
    </row>
    <row r="10" ht="13.5" customHeight="1">
      <c r="A10" s="160" t="s">
        <v>154</v>
      </c>
      <c r="B10" s="194">
        <v>0.0</v>
      </c>
      <c r="C10" s="194">
        <f t="array" ref="C10">SUMIFS(INDIRECT("'"&amp;A$1&amp;"_DIV'!"&amp;"C:C"),INDIRECT("'"&amp;A$1&amp;"_DIV'!"&amp;"E:E"),C1)</f>
        <v>0</v>
      </c>
      <c r="D10" s="194">
        <f t="array" ref="D10">SUMIFS(INDIRECT("'"&amp;A$1&amp;"_DIV'!"&amp;"C:C"),INDIRECT("'"&amp;A$1&amp;"_DIV'!"&amp;"E:E"),D1)</f>
        <v>0</v>
      </c>
      <c r="E10" s="194">
        <f t="array" ref="E10">SUMIFS(INDIRECT("'"&amp;A$1&amp;"_DIV'!"&amp;"C:C"),INDIRECT("'"&amp;A$1&amp;"_DIV'!"&amp;"E:E"),E1)</f>
        <v>0</v>
      </c>
      <c r="F10" s="194">
        <f t="array" ref="F10">SUMIFS(INDIRECT("'"&amp;A$1&amp;"_DIV'!"&amp;"C:C"),INDIRECT("'"&amp;A$1&amp;"_DIV'!"&amp;"E:E"),F1)</f>
        <v>0.109309</v>
      </c>
      <c r="G10" s="161">
        <v>0.11</v>
      </c>
      <c r="H10" s="161">
        <v>0.16</v>
      </c>
      <c r="I10" s="161">
        <v>0.16</v>
      </c>
      <c r="J10" s="161">
        <v>0.16</v>
      </c>
      <c r="K10" s="161">
        <v>0.16</v>
      </c>
      <c r="L10" s="161">
        <v>0.15</v>
      </c>
      <c r="M10" s="161">
        <v>0.13</v>
      </c>
      <c r="N10" s="161">
        <v>0.11</v>
      </c>
      <c r="O10" s="161">
        <v>0.23</v>
      </c>
      <c r="P10" s="161">
        <v>0.23</v>
      </c>
      <c r="Q10" s="161">
        <v>0.22</v>
      </c>
      <c r="R10" s="161">
        <v>0.25</v>
      </c>
    </row>
    <row r="11" ht="13.5" customHeight="1">
      <c r="A11" s="160" t="s">
        <v>436</v>
      </c>
      <c r="B11" s="195">
        <v>4.91198977E8</v>
      </c>
      <c r="C11" s="171">
        <v>4.91457713E8</v>
      </c>
      <c r="D11" s="171">
        <v>4.91457713E8</v>
      </c>
      <c r="E11" s="171">
        <v>4.97801481E8</v>
      </c>
      <c r="F11" s="171">
        <v>4.97801481E8</v>
      </c>
      <c r="G11" s="171">
        <v>4.97801481E8</v>
      </c>
      <c r="H11" s="171">
        <v>4.97801481E8</v>
      </c>
      <c r="I11" s="171">
        <v>4.97801481E8</v>
      </c>
      <c r="J11" s="171">
        <v>4.97801481E8</v>
      </c>
      <c r="K11" s="171">
        <v>4.97801569E8</v>
      </c>
      <c r="L11" s="171">
        <v>4.57418159E8</v>
      </c>
      <c r="M11" s="171">
        <v>4.52289999E8</v>
      </c>
      <c r="N11" s="171">
        <v>4.44990729E8</v>
      </c>
      <c r="O11" s="171">
        <v>4.44990729E8</v>
      </c>
      <c r="P11" s="171">
        <v>4.44990729E8</v>
      </c>
      <c r="Q11" s="171">
        <v>5.02755199E8</v>
      </c>
      <c r="R11" s="171">
        <v>5.02755199E8</v>
      </c>
    </row>
    <row r="12" ht="13.5" customHeight="1">
      <c r="A12" s="172" t="s">
        <v>382</v>
      </c>
      <c r="B12" s="173">
        <v>0.0695</v>
      </c>
      <c r="C12" s="173">
        <v>0.0675</v>
      </c>
      <c r="D12" s="173">
        <v>0.0651</v>
      </c>
      <c r="E12" s="173"/>
      <c r="F12" s="173"/>
      <c r="G12" s="173"/>
      <c r="H12" s="173"/>
      <c r="I12" s="173"/>
    </row>
    <row r="13" ht="13.5" customHeight="1">
      <c r="A13" s="179" t="s">
        <v>383</v>
      </c>
      <c r="B13" s="196">
        <v>2.947193862E9</v>
      </c>
      <c r="C13" s="176">
        <v>3.16601741916E9</v>
      </c>
      <c r="D13" s="176">
        <v>3.08635443764E9</v>
      </c>
      <c r="E13" s="176"/>
      <c r="F13" s="176"/>
      <c r="G13" s="176"/>
      <c r="H13" s="176"/>
      <c r="I13" s="176"/>
    </row>
    <row r="14" ht="13.5" customHeight="1">
      <c r="A14" s="179" t="s">
        <v>438</v>
      </c>
      <c r="B14" s="173">
        <v>-0.7864</v>
      </c>
      <c r="C14" s="173">
        <v>-0.8039</v>
      </c>
      <c r="D14" s="173">
        <v>-0.7413</v>
      </c>
      <c r="E14" s="173"/>
      <c r="F14" s="173"/>
      <c r="G14" s="173"/>
      <c r="H14" s="173"/>
      <c r="I14" s="173"/>
    </row>
    <row r="15" ht="13.5" customHeight="1">
      <c r="A15" s="179" t="s">
        <v>439</v>
      </c>
      <c r="B15" s="173">
        <v>0.4535</v>
      </c>
      <c r="C15" s="173">
        <v>0.4427</v>
      </c>
      <c r="D15" s="173">
        <v>0.4392</v>
      </c>
      <c r="F15" s="173"/>
      <c r="G15" s="173"/>
      <c r="H15" s="173"/>
      <c r="I15" s="173"/>
    </row>
    <row r="16" ht="13.5" customHeight="1">
      <c r="A16" s="179" t="s">
        <v>440</v>
      </c>
      <c r="B16" s="173">
        <v>0.0</v>
      </c>
      <c r="C16" s="173">
        <v>0.1031</v>
      </c>
      <c r="D16" s="173">
        <v>0.0</v>
      </c>
      <c r="E16" s="173"/>
      <c r="F16" s="173"/>
      <c r="G16" s="173"/>
      <c r="H16" s="173"/>
      <c r="I16" s="173"/>
    </row>
    <row r="17" ht="13.5" customHeight="1">
      <c r="A17" s="179" t="s">
        <v>389</v>
      </c>
      <c r="B17" s="198">
        <v>28.08</v>
      </c>
      <c r="C17" s="198">
        <v>29.27</v>
      </c>
      <c r="D17" s="198">
        <v>24.28</v>
      </c>
      <c r="E17" s="198"/>
      <c r="F17" s="198"/>
      <c r="G17" s="198"/>
      <c r="H17" s="198"/>
      <c r="I17" s="198"/>
    </row>
    <row r="18" ht="13.5" customHeight="1">
      <c r="A18" s="179" t="s">
        <v>390</v>
      </c>
      <c r="B18" s="200">
        <v>0.1205</v>
      </c>
      <c r="C18" s="200">
        <v>0.0813</v>
      </c>
      <c r="D18" s="200">
        <v>0.0976</v>
      </c>
      <c r="E18" s="200"/>
      <c r="F18" s="200"/>
      <c r="G18" s="200"/>
      <c r="H18" s="200"/>
      <c r="I18" s="200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86"/>
  </cols>
  <sheetData>
    <row r="1">
      <c r="A1" s="166" t="s">
        <v>129</v>
      </c>
      <c r="B1" s="166" t="s">
        <v>155</v>
      </c>
    </row>
    <row r="2">
      <c r="A2" s="166" t="s">
        <v>707</v>
      </c>
      <c r="B2" s="166" t="s">
        <v>708</v>
      </c>
      <c r="C2" s="187">
        <f t="shared" ref="C2:C19" si="1">VALUE(SUBSTITUTE(SUBSTITUTE(B2,"MXN $",""),"",""))</f>
        <v>0.109309</v>
      </c>
      <c r="D2" s="188" t="str">
        <f t="shared" ref="D2:D19" si="2">SUBSTITUTE(SUBSTITUTE(A2,"de",""),"","")</f>
        <v>21  abril  2022</v>
      </c>
      <c r="E2" s="189" t="str">
        <f t="shared" ref="E2:E19" si="3">IF(IF(ROUNDUP(MONTH(D2)/3,0)-1=0,4,ROUNDUP(MONTH(D2)/3,0)-1)=4,YEAR(D2)-1,YEAR(D2)) &amp; " Q" &amp; IF(ROUNDUP(MONTH(D2)/3,0)-1=0,4,ROUNDUP(MONTH(D2)/3,0)-1)</f>
        <v>2022 Q1</v>
      </c>
    </row>
    <row r="3">
      <c r="A3" s="166" t="s">
        <v>709</v>
      </c>
      <c r="B3" s="166" t="s">
        <v>710</v>
      </c>
      <c r="C3" s="187">
        <f t="shared" si="1"/>
        <v>0.163964</v>
      </c>
      <c r="D3" s="188" t="str">
        <f t="shared" si="2"/>
        <v>23  noviembre  2021</v>
      </c>
      <c r="E3" s="189" t="str">
        <f t="shared" si="3"/>
        <v>2021 Q3</v>
      </c>
    </row>
    <row r="4">
      <c r="A4" s="166" t="s">
        <v>711</v>
      </c>
      <c r="B4" s="166" t="s">
        <v>710</v>
      </c>
      <c r="C4" s="187">
        <f t="shared" si="1"/>
        <v>0.163964</v>
      </c>
      <c r="D4" s="188" t="str">
        <f t="shared" si="2"/>
        <v>17  agosto  2021</v>
      </c>
      <c r="E4" s="189" t="str">
        <f t="shared" si="3"/>
        <v>2021 Q2</v>
      </c>
    </row>
    <row r="5">
      <c r="A5" s="166" t="s">
        <v>526</v>
      </c>
      <c r="B5" s="166" t="s">
        <v>710</v>
      </c>
      <c r="C5" s="187">
        <f t="shared" si="1"/>
        <v>0.163964</v>
      </c>
      <c r="D5" s="188" t="str">
        <f t="shared" si="2"/>
        <v>11  mayo  2021</v>
      </c>
      <c r="E5" s="189" t="str">
        <f t="shared" si="3"/>
        <v>2021 Q1</v>
      </c>
    </row>
    <row r="6">
      <c r="A6" s="166" t="s">
        <v>712</v>
      </c>
      <c r="B6" s="166" t="s">
        <v>710</v>
      </c>
      <c r="C6" s="187">
        <f t="shared" si="1"/>
        <v>0.163964</v>
      </c>
      <c r="D6" s="188" t="str">
        <f t="shared" si="2"/>
        <v>11  marzo  2021</v>
      </c>
      <c r="E6" s="189" t="str">
        <f t="shared" si="3"/>
        <v>2020 Q4</v>
      </c>
    </row>
    <row r="7">
      <c r="A7" s="166" t="s">
        <v>713</v>
      </c>
      <c r="B7" s="166" t="s">
        <v>714</v>
      </c>
      <c r="C7" s="187">
        <f t="shared" si="1"/>
        <v>0.153033</v>
      </c>
      <c r="D7" s="188" t="str">
        <f t="shared" si="2"/>
        <v>3  noviembre  2020</v>
      </c>
      <c r="E7" s="189" t="str">
        <f t="shared" si="3"/>
        <v>2020 Q3</v>
      </c>
    </row>
    <row r="8">
      <c r="A8" s="166" t="s">
        <v>715</v>
      </c>
      <c r="B8" s="166" t="s">
        <v>716</v>
      </c>
      <c r="C8" s="187">
        <f t="shared" si="1"/>
        <v>0.132658</v>
      </c>
      <c r="D8" s="188" t="str">
        <f t="shared" si="2"/>
        <v>18  agosto  2020</v>
      </c>
      <c r="E8" s="189" t="str">
        <f t="shared" si="3"/>
        <v>2020 Q2</v>
      </c>
    </row>
    <row r="9">
      <c r="A9" s="166" t="s">
        <v>717</v>
      </c>
      <c r="B9" s="166" t="s">
        <v>718</v>
      </c>
      <c r="C9" s="187">
        <f t="shared" si="1"/>
        <v>0.016403</v>
      </c>
      <c r="D9" s="188" t="str">
        <f t="shared" si="2"/>
        <v>27  mayo  2020</v>
      </c>
      <c r="E9" s="189" t="str">
        <f t="shared" si="3"/>
        <v>2020 Q1</v>
      </c>
    </row>
    <row r="10">
      <c r="A10" s="166" t="s">
        <v>719</v>
      </c>
      <c r="B10" s="166" t="s">
        <v>720</v>
      </c>
      <c r="C10" s="187">
        <f t="shared" si="1"/>
        <v>0.225</v>
      </c>
      <c r="D10" s="188" t="str">
        <f t="shared" si="2"/>
        <v>2  marzo  2020</v>
      </c>
      <c r="E10" s="189" t="str">
        <f t="shared" si="3"/>
        <v>2019 Q4</v>
      </c>
    </row>
    <row r="11">
      <c r="A11" s="166" t="s">
        <v>721</v>
      </c>
      <c r="B11" s="166" t="s">
        <v>720</v>
      </c>
      <c r="C11" s="187">
        <f t="shared" si="1"/>
        <v>0.225</v>
      </c>
      <c r="D11" s="188" t="str">
        <f t="shared" si="2"/>
        <v>11  noviembre  2019</v>
      </c>
      <c r="E11" s="189" t="str">
        <f t="shared" si="3"/>
        <v>2019 Q3</v>
      </c>
    </row>
    <row r="12">
      <c r="A12" s="166" t="s">
        <v>287</v>
      </c>
      <c r="B12" s="166" t="s">
        <v>722</v>
      </c>
      <c r="C12" s="187">
        <f t="shared" si="1"/>
        <v>0.216409</v>
      </c>
      <c r="D12" s="188" t="str">
        <f t="shared" si="2"/>
        <v>5  agosto  2019</v>
      </c>
      <c r="E12" s="189" t="str">
        <f t="shared" si="3"/>
        <v>2019 Q2</v>
      </c>
    </row>
    <row r="13">
      <c r="A13" s="166" t="s">
        <v>297</v>
      </c>
      <c r="B13" s="166" t="s">
        <v>723</v>
      </c>
      <c r="C13" s="187">
        <f t="shared" si="1"/>
        <v>0.205</v>
      </c>
      <c r="D13" s="188" t="str">
        <f t="shared" si="2"/>
        <v>13  mayo  2019</v>
      </c>
      <c r="E13" s="189" t="str">
        <f t="shared" si="3"/>
        <v>2019 Q1</v>
      </c>
    </row>
    <row r="14">
      <c r="A14" s="166" t="s">
        <v>313</v>
      </c>
      <c r="B14" s="166" t="s">
        <v>724</v>
      </c>
      <c r="C14" s="187">
        <f t="shared" si="1"/>
        <v>0.068474</v>
      </c>
      <c r="D14" s="188" t="str">
        <f t="shared" si="2"/>
        <v>4  marzo  2019</v>
      </c>
      <c r="E14" s="189" t="str">
        <f t="shared" si="3"/>
        <v>2018 Q4</v>
      </c>
    </row>
    <row r="15">
      <c r="A15" s="166" t="s">
        <v>313</v>
      </c>
      <c r="B15" s="166" t="s">
        <v>725</v>
      </c>
      <c r="C15" s="187">
        <f t="shared" si="1"/>
        <v>0.161526</v>
      </c>
      <c r="D15" s="188" t="str">
        <f t="shared" si="2"/>
        <v>4  marzo  2019</v>
      </c>
      <c r="E15" s="189" t="str">
        <f t="shared" si="3"/>
        <v>2018 Q4</v>
      </c>
    </row>
    <row r="16">
      <c r="A16" s="166" t="s">
        <v>325</v>
      </c>
      <c r="B16" s="166" t="s">
        <v>726</v>
      </c>
      <c r="C16" s="187">
        <f t="shared" si="1"/>
        <v>0.261273</v>
      </c>
      <c r="D16" s="188" t="str">
        <f t="shared" si="2"/>
        <v>5  noviembre  2018</v>
      </c>
      <c r="E16" s="189" t="str">
        <f t="shared" si="3"/>
        <v>2018 Q3</v>
      </c>
    </row>
    <row r="17">
      <c r="A17" s="166" t="s">
        <v>335</v>
      </c>
      <c r="B17" s="166" t="s">
        <v>727</v>
      </c>
      <c r="C17" s="187">
        <f t="shared" si="1"/>
        <v>0.264842</v>
      </c>
      <c r="D17" s="188" t="str">
        <f t="shared" si="2"/>
        <v>6  agosto  2018</v>
      </c>
      <c r="E17" s="189" t="str">
        <f t="shared" si="3"/>
        <v>2018 Q2</v>
      </c>
    </row>
    <row r="18">
      <c r="A18" s="166" t="s">
        <v>345</v>
      </c>
      <c r="B18" s="166" t="s">
        <v>728</v>
      </c>
      <c r="C18" s="187">
        <f t="shared" si="1"/>
        <v>0.270579</v>
      </c>
      <c r="D18" s="188" t="str">
        <f t="shared" si="2"/>
        <v>7  mayo  2018</v>
      </c>
      <c r="E18" s="189" t="str">
        <f t="shared" si="3"/>
        <v>2018 Q1</v>
      </c>
    </row>
    <row r="19">
      <c r="A19" s="166" t="s">
        <v>358</v>
      </c>
      <c r="B19" s="166" t="s">
        <v>729</v>
      </c>
      <c r="C19" s="187">
        <f t="shared" si="1"/>
        <v>0.289518</v>
      </c>
      <c r="D19" s="188" t="str">
        <f t="shared" si="2"/>
        <v>5  marzo  2018</v>
      </c>
      <c r="E19" s="189" t="str">
        <f t="shared" si="3"/>
        <v>2017 Q4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>
      <c r="A1" s="143" t="s">
        <v>59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</row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>
      <c r="A10" s="160" t="s">
        <v>154</v>
      </c>
      <c r="B10" s="194">
        <f t="array" ref="B10">IF(SUMIFS(INDIRECT("'"&amp;A$1&amp;"_DIV'!"&amp;"C:C"),INDIRECT("'"&amp;A$1&amp;"_DIV'!"&amp;"E:E"),B1)=0,"",SUMIFS(INDIRECT("'"&amp;A$1&amp;"_DIV'!"&amp;"C:C"),INDIRECT("'"&amp;A$1&amp;"_DIV'!"&amp;"E:E"),B1))</f>
        <v>0.575</v>
      </c>
      <c r="C10" s="194">
        <f t="array" ref="C10">SUMIFS(INDIRECT("'"&amp;A$1&amp;"_DIV'!"&amp;"C:C"),INDIRECT("'"&amp;A$1&amp;"_DIV'!"&amp;"E:E"),C1)</f>
        <v>0.845478</v>
      </c>
      <c r="D10" s="194">
        <f t="array" ref="D10">SUMIFS(INDIRECT("'"&amp;A$1&amp;"_DIV'!"&amp;"C:C"),INDIRECT("'"&amp;A$1&amp;"_DIV'!"&amp;"E:E"),D1)</f>
        <v>0.975006</v>
      </c>
      <c r="E10" s="194">
        <f t="array" ref="E10">SUMIFS(INDIRECT("'"&amp;A$1&amp;"_DIV'!"&amp;"C:C"),INDIRECT("'"&amp;A$1&amp;"_DIV'!"&amp;"E:E"),E1)</f>
        <v>0.857604</v>
      </c>
      <c r="F10" s="194">
        <f t="array" ref="F10">SUMIFS(INDIRECT("'"&amp;A$1&amp;"_DIV'!"&amp;"C:C"),INDIRECT("'"&amp;A$1&amp;"_DIV'!"&amp;"E:E"),F1)</f>
        <v>0.597068</v>
      </c>
    </row>
    <row r="11" ht="13.5" customHeight="1"/>
    <row r="12" ht="13.5" customHeight="1">
      <c r="A12" s="172" t="s">
        <v>382</v>
      </c>
      <c r="B12" s="173"/>
      <c r="C12" s="173"/>
      <c r="D12" s="173"/>
      <c r="E12" s="173"/>
      <c r="F12" s="173"/>
      <c r="G12" s="173"/>
    </row>
    <row r="13" ht="13.5" customHeight="1">
      <c r="A13" s="179" t="s">
        <v>383</v>
      </c>
      <c r="B13" s="196"/>
      <c r="C13" s="196"/>
      <c r="D13" s="196"/>
      <c r="E13" s="196"/>
      <c r="F13" s="196"/>
      <c r="G13" s="196"/>
    </row>
    <row r="14" ht="13.5" customHeight="1">
      <c r="A14" s="179" t="s">
        <v>438</v>
      </c>
      <c r="B14" s="173"/>
      <c r="C14" s="173"/>
      <c r="D14" s="173"/>
      <c r="E14" s="173"/>
      <c r="F14" s="173"/>
      <c r="G14" s="173"/>
    </row>
    <row r="15" ht="13.5" customHeight="1">
      <c r="A15" s="179" t="s">
        <v>439</v>
      </c>
      <c r="B15" s="173"/>
      <c r="C15" s="173"/>
      <c r="D15" s="173"/>
      <c r="E15" s="173"/>
      <c r="F15" s="173"/>
      <c r="G15" s="173"/>
    </row>
    <row r="16" ht="13.5" customHeight="1">
      <c r="A16" s="179" t="s">
        <v>440</v>
      </c>
      <c r="B16" s="173"/>
      <c r="C16" s="173"/>
      <c r="D16" s="173"/>
      <c r="E16" s="173"/>
      <c r="F16" s="173"/>
      <c r="G16" s="173"/>
    </row>
    <row r="17" ht="13.5" customHeight="1">
      <c r="A17" s="179" t="s">
        <v>389</v>
      </c>
      <c r="B17" s="198"/>
      <c r="C17" s="198"/>
      <c r="D17" s="198"/>
      <c r="E17" s="198"/>
      <c r="F17" s="198"/>
      <c r="G17" s="198"/>
    </row>
    <row r="18" ht="13.5" customHeight="1">
      <c r="A18" s="179" t="s">
        <v>390</v>
      </c>
      <c r="B18" s="200"/>
      <c r="C18" s="200"/>
      <c r="D18" s="200"/>
      <c r="E18" s="200"/>
      <c r="F18" s="200"/>
      <c r="G18" s="200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43"/>
    <col customWidth="1" min="4" max="4" width="19.14"/>
    <col customWidth="1" min="6" max="6" width="19.57"/>
  </cols>
  <sheetData>
    <row r="1">
      <c r="A1" s="166" t="s">
        <v>129</v>
      </c>
      <c r="B1" s="166" t="s">
        <v>155</v>
      </c>
    </row>
    <row r="2">
      <c r="A2" s="166" t="s">
        <v>550</v>
      </c>
      <c r="B2" s="166" t="s">
        <v>730</v>
      </c>
      <c r="C2" s="187">
        <f t="shared" ref="C2:C39" si="1">VALUE(SUBSTITUTE(SUBSTITUTE(B2,"MXN $",""),"",""))</f>
        <v>0.575</v>
      </c>
      <c r="D2" s="188" t="str">
        <f t="shared" ref="D2:D39" si="2">SUBSTITUTE(SUBSTITUTE(A2,"de",""),"","")</f>
        <v>31  marzo  2023</v>
      </c>
      <c r="E2" s="189" t="str">
        <f t="shared" ref="E2:E39" si="3">IF(IF(ROUNDUP(MONTH(D2+2)/3,0)-1=0,4,ROUNDUP(MONTH(D2+2)/3,0)-1)=4,YEAR(D2+2)-1,YEAR(D2+2)) &amp; " Q" &amp; IF(ROUNDUP(MONTH(D2+2)/3,0)-1=0,4,ROUNDUP(MONTH(D2+2)/3,0)-1)</f>
        <v>2023 Q1</v>
      </c>
      <c r="F2" s="166" t="s">
        <v>133</v>
      </c>
    </row>
    <row r="3">
      <c r="A3" s="166" t="s">
        <v>556</v>
      </c>
      <c r="B3" s="166" t="s">
        <v>731</v>
      </c>
      <c r="C3" s="187">
        <f t="shared" si="1"/>
        <v>0.803204</v>
      </c>
      <c r="D3" s="188" t="str">
        <f t="shared" si="2"/>
        <v>30  diciembre  2022</v>
      </c>
      <c r="E3" s="189" t="str">
        <f t="shared" si="3"/>
        <v>2022 Q4</v>
      </c>
      <c r="F3" s="166" t="s">
        <v>132</v>
      </c>
    </row>
    <row r="4">
      <c r="A4" s="166" t="s">
        <v>556</v>
      </c>
      <c r="B4" s="166" t="s">
        <v>732</v>
      </c>
      <c r="C4" s="187">
        <f t="shared" si="1"/>
        <v>0.042274</v>
      </c>
      <c r="D4" s="188" t="str">
        <f t="shared" si="2"/>
        <v>30  diciembre  2022</v>
      </c>
      <c r="E4" s="189" t="str">
        <f t="shared" si="3"/>
        <v>2022 Q4</v>
      </c>
      <c r="F4" s="166" t="s">
        <v>133</v>
      </c>
    </row>
    <row r="5">
      <c r="A5" s="166" t="s">
        <v>733</v>
      </c>
      <c r="B5" s="166" t="s">
        <v>734</v>
      </c>
      <c r="C5" s="187">
        <f t="shared" si="1"/>
        <v>0.657043</v>
      </c>
      <c r="D5" s="188" t="str">
        <f t="shared" si="2"/>
        <v>30  septiembre  2022</v>
      </c>
      <c r="E5" s="189" t="str">
        <f t="shared" si="3"/>
        <v>2022 Q3</v>
      </c>
    </row>
    <row r="6">
      <c r="A6" s="166" t="s">
        <v>733</v>
      </c>
      <c r="B6" s="166" t="s">
        <v>735</v>
      </c>
      <c r="C6" s="187">
        <f t="shared" si="1"/>
        <v>0.317963</v>
      </c>
      <c r="D6" s="188" t="str">
        <f t="shared" si="2"/>
        <v>30  septiembre  2022</v>
      </c>
      <c r="E6" s="189" t="str">
        <f t="shared" si="3"/>
        <v>2022 Q3</v>
      </c>
    </row>
    <row r="7">
      <c r="A7" s="166" t="s">
        <v>566</v>
      </c>
      <c r="B7" s="166" t="s">
        <v>736</v>
      </c>
      <c r="C7" s="187">
        <f t="shared" si="1"/>
        <v>0.428403</v>
      </c>
      <c r="D7" s="188" t="str">
        <f t="shared" si="2"/>
        <v>30  junio  2022</v>
      </c>
      <c r="E7" s="189" t="str">
        <f t="shared" si="3"/>
        <v>2022 Q2</v>
      </c>
    </row>
    <row r="8">
      <c r="A8" s="166" t="s">
        <v>566</v>
      </c>
      <c r="B8" s="166" t="s">
        <v>737</v>
      </c>
      <c r="C8" s="187">
        <f t="shared" si="1"/>
        <v>0.429201</v>
      </c>
      <c r="D8" s="188" t="str">
        <f t="shared" si="2"/>
        <v>30  junio  2022</v>
      </c>
      <c r="E8" s="189" t="str">
        <f t="shared" si="3"/>
        <v>2022 Q2</v>
      </c>
    </row>
    <row r="9">
      <c r="A9" s="166" t="s">
        <v>738</v>
      </c>
      <c r="B9" s="166" t="s">
        <v>739</v>
      </c>
      <c r="C9" s="187">
        <f t="shared" si="1"/>
        <v>0.048141</v>
      </c>
      <c r="D9" s="188" t="str">
        <f t="shared" si="2"/>
        <v>31  marzo  2022</v>
      </c>
      <c r="E9" s="189" t="str">
        <f t="shared" si="3"/>
        <v>2022 Q1</v>
      </c>
    </row>
    <row r="10">
      <c r="A10" s="166" t="s">
        <v>738</v>
      </c>
      <c r="B10" s="166" t="s">
        <v>740</v>
      </c>
      <c r="C10" s="187">
        <f t="shared" si="1"/>
        <v>0.548927</v>
      </c>
      <c r="D10" s="188" t="str">
        <f t="shared" si="2"/>
        <v>31  marzo  2022</v>
      </c>
      <c r="E10" s="189" t="str">
        <f t="shared" si="3"/>
        <v>2022 Q1</v>
      </c>
    </row>
    <row r="11">
      <c r="A11" s="166" t="s">
        <v>578</v>
      </c>
      <c r="B11" s="166" t="s">
        <v>741</v>
      </c>
      <c r="C11" s="187">
        <f t="shared" si="1"/>
        <v>0.787827</v>
      </c>
      <c r="D11" s="188" t="str">
        <f t="shared" si="2"/>
        <v>31  diciembre  2021</v>
      </c>
      <c r="E11" s="189" t="str">
        <f t="shared" si="3"/>
        <v>2021 Q4</v>
      </c>
    </row>
    <row r="12">
      <c r="A12" s="166" t="s">
        <v>578</v>
      </c>
      <c r="B12" s="166" t="s">
        <v>742</v>
      </c>
      <c r="C12" s="187">
        <f t="shared" si="1"/>
        <v>0.059299</v>
      </c>
      <c r="D12" s="188" t="str">
        <f t="shared" si="2"/>
        <v>31  diciembre  2021</v>
      </c>
      <c r="E12" s="189" t="str">
        <f t="shared" si="3"/>
        <v>2021 Q4</v>
      </c>
    </row>
    <row r="13">
      <c r="A13" s="166" t="s">
        <v>211</v>
      </c>
      <c r="B13" s="166" t="s">
        <v>743</v>
      </c>
      <c r="C13" s="187">
        <f t="shared" si="1"/>
        <v>0.666537</v>
      </c>
      <c r="D13" s="188" t="str">
        <f t="shared" si="2"/>
        <v>30  septiembre  2021</v>
      </c>
      <c r="E13" s="189" t="str">
        <f t="shared" si="3"/>
        <v>2021 Q3</v>
      </c>
    </row>
    <row r="14">
      <c r="A14" s="166" t="s">
        <v>211</v>
      </c>
      <c r="B14" s="166" t="s">
        <v>744</v>
      </c>
      <c r="C14" s="187">
        <f t="shared" si="1"/>
        <v>0.276152</v>
      </c>
      <c r="D14" s="188" t="str">
        <f t="shared" si="2"/>
        <v>30  septiembre  2021</v>
      </c>
      <c r="E14" s="189" t="str">
        <f t="shared" si="3"/>
        <v>2021 Q3</v>
      </c>
    </row>
    <row r="15">
      <c r="A15" s="166" t="s">
        <v>586</v>
      </c>
      <c r="B15" s="166" t="s">
        <v>745</v>
      </c>
      <c r="C15" s="187">
        <f t="shared" si="1"/>
        <v>0.502103</v>
      </c>
      <c r="D15" s="188" t="str">
        <f t="shared" si="2"/>
        <v>30  junio  2021</v>
      </c>
      <c r="E15" s="189" t="str">
        <f t="shared" si="3"/>
        <v>2021 Q2</v>
      </c>
    </row>
    <row r="16">
      <c r="A16" s="166" t="s">
        <v>586</v>
      </c>
      <c r="B16" s="166" t="s">
        <v>746</v>
      </c>
      <c r="C16" s="187">
        <f t="shared" si="1"/>
        <v>0.270424</v>
      </c>
      <c r="D16" s="188" t="str">
        <f t="shared" si="2"/>
        <v>30  junio  2021</v>
      </c>
      <c r="E16" s="189" t="str">
        <f t="shared" si="3"/>
        <v>2021 Q2</v>
      </c>
    </row>
    <row r="17">
      <c r="A17" s="166" t="s">
        <v>747</v>
      </c>
      <c r="B17" s="166" t="s">
        <v>748</v>
      </c>
      <c r="C17" s="187">
        <f t="shared" si="1"/>
        <v>0.073976</v>
      </c>
      <c r="D17" s="188" t="str">
        <f t="shared" si="2"/>
        <v>31  marzo  2021</v>
      </c>
      <c r="E17" s="189" t="str">
        <f t="shared" si="3"/>
        <v>2021 Q1</v>
      </c>
    </row>
    <row r="18">
      <c r="A18" s="166" t="s">
        <v>747</v>
      </c>
      <c r="B18" s="166" t="s">
        <v>749</v>
      </c>
      <c r="C18" s="187">
        <f t="shared" si="1"/>
        <v>0.501024</v>
      </c>
      <c r="D18" s="188" t="str">
        <f t="shared" si="2"/>
        <v>31  marzo  2021</v>
      </c>
      <c r="E18" s="189" t="str">
        <f t="shared" si="3"/>
        <v>2021 Q1</v>
      </c>
    </row>
    <row r="19">
      <c r="A19" s="166" t="s">
        <v>595</v>
      </c>
      <c r="B19" s="166" t="s">
        <v>750</v>
      </c>
      <c r="C19" s="187">
        <f t="shared" si="1"/>
        <v>0.693641</v>
      </c>
      <c r="D19" s="188" t="str">
        <f t="shared" si="2"/>
        <v>31  diciembre  2020</v>
      </c>
      <c r="E19" s="189" t="str">
        <f t="shared" si="3"/>
        <v>2020 Q4</v>
      </c>
    </row>
    <row r="20">
      <c r="A20" s="166" t="s">
        <v>595</v>
      </c>
      <c r="B20" s="166" t="s">
        <v>751</v>
      </c>
      <c r="C20" s="187">
        <f t="shared" si="1"/>
        <v>0.068485</v>
      </c>
      <c r="D20" s="188" t="str">
        <f t="shared" si="2"/>
        <v>31  diciembre  2020</v>
      </c>
      <c r="E20" s="189" t="str">
        <f t="shared" si="3"/>
        <v>2020 Q4</v>
      </c>
    </row>
    <row r="21">
      <c r="A21" s="166" t="s">
        <v>601</v>
      </c>
      <c r="B21" s="166" t="s">
        <v>752</v>
      </c>
      <c r="C21" s="187">
        <f t="shared" si="1"/>
        <v>0.250706</v>
      </c>
      <c r="D21" s="188" t="str">
        <f t="shared" si="2"/>
        <v>30  septiembre  2020</v>
      </c>
      <c r="E21" s="189" t="str">
        <f t="shared" si="3"/>
        <v>2020 Q3</v>
      </c>
    </row>
    <row r="22">
      <c r="A22" s="166" t="s">
        <v>601</v>
      </c>
      <c r="B22" s="166" t="s">
        <v>753</v>
      </c>
      <c r="C22" s="187">
        <f t="shared" si="1"/>
        <v>0.558862</v>
      </c>
      <c r="D22" s="188" t="str">
        <f t="shared" si="2"/>
        <v>30  septiembre  2020</v>
      </c>
      <c r="E22" s="189" t="str">
        <f t="shared" si="3"/>
        <v>2020 Q3</v>
      </c>
    </row>
    <row r="23">
      <c r="A23" s="166" t="s">
        <v>606</v>
      </c>
      <c r="B23" s="166" t="s">
        <v>754</v>
      </c>
      <c r="C23" s="187">
        <f t="shared" si="1"/>
        <v>0.437857</v>
      </c>
      <c r="D23" s="188" t="str">
        <f t="shared" si="2"/>
        <v>30  junio  2020</v>
      </c>
      <c r="E23" s="189" t="str">
        <f t="shared" si="3"/>
        <v>2020 Q2</v>
      </c>
    </row>
    <row r="24">
      <c r="A24" s="166" t="s">
        <v>606</v>
      </c>
      <c r="B24" s="166" t="s">
        <v>755</v>
      </c>
      <c r="C24" s="187">
        <f t="shared" si="1"/>
        <v>0.260568</v>
      </c>
      <c r="D24" s="188" t="str">
        <f t="shared" si="2"/>
        <v>30  junio  2020</v>
      </c>
      <c r="E24" s="189" t="str">
        <f t="shared" si="3"/>
        <v>2020 Q2</v>
      </c>
    </row>
    <row r="25">
      <c r="A25" s="166" t="s">
        <v>756</v>
      </c>
      <c r="B25" s="166" t="s">
        <v>757</v>
      </c>
      <c r="C25" s="187">
        <f t="shared" si="1"/>
        <v>0.251049</v>
      </c>
      <c r="D25" s="188" t="str">
        <f t="shared" si="2"/>
        <v>31  marzo  2020</v>
      </c>
      <c r="E25" s="189" t="str">
        <f t="shared" si="3"/>
        <v>2020 Q1</v>
      </c>
    </row>
    <row r="26">
      <c r="A26" s="166" t="s">
        <v>756</v>
      </c>
      <c r="B26" s="166" t="s">
        <v>758</v>
      </c>
      <c r="C26" s="187">
        <f t="shared" si="1"/>
        <v>0.382798</v>
      </c>
      <c r="D26" s="188" t="str">
        <f t="shared" si="2"/>
        <v>31  marzo  2020</v>
      </c>
      <c r="E26" s="189" t="str">
        <f t="shared" si="3"/>
        <v>2020 Q1</v>
      </c>
    </row>
    <row r="27">
      <c r="A27" s="166" t="s">
        <v>759</v>
      </c>
      <c r="B27" s="166" t="s">
        <v>760</v>
      </c>
      <c r="C27" s="187">
        <f t="shared" si="1"/>
        <v>0.771056</v>
      </c>
      <c r="D27" s="188" t="str">
        <f t="shared" si="2"/>
        <v>31  diciembre  2019</v>
      </c>
      <c r="E27" s="189" t="str">
        <f t="shared" si="3"/>
        <v>2019 Q4</v>
      </c>
    </row>
    <row r="28">
      <c r="A28" s="166" t="s">
        <v>759</v>
      </c>
      <c r="B28" s="166" t="s">
        <v>761</v>
      </c>
      <c r="C28" s="187">
        <f t="shared" si="1"/>
        <v>0.036492</v>
      </c>
      <c r="D28" s="188" t="str">
        <f t="shared" si="2"/>
        <v>31  diciembre  2019</v>
      </c>
      <c r="E28" s="189" t="str">
        <f t="shared" si="3"/>
        <v>2019 Q4</v>
      </c>
    </row>
    <row r="29">
      <c r="A29" s="166" t="s">
        <v>762</v>
      </c>
      <c r="B29" s="166" t="s">
        <v>763</v>
      </c>
      <c r="C29" s="187">
        <f t="shared" si="1"/>
        <v>0.49836</v>
      </c>
      <c r="D29" s="188" t="str">
        <f t="shared" si="2"/>
        <v>30  septiembre  2019</v>
      </c>
      <c r="E29" s="189" t="str">
        <f t="shared" si="3"/>
        <v>2019 Q3</v>
      </c>
    </row>
    <row r="30">
      <c r="A30" s="166" t="s">
        <v>762</v>
      </c>
      <c r="B30" s="166" t="s">
        <v>764</v>
      </c>
      <c r="C30" s="187">
        <f t="shared" si="1"/>
        <v>0.342338</v>
      </c>
      <c r="D30" s="188" t="str">
        <f t="shared" si="2"/>
        <v>30  septiembre  2019</v>
      </c>
      <c r="E30" s="189" t="str">
        <f t="shared" si="3"/>
        <v>2019 Q3</v>
      </c>
    </row>
    <row r="31">
      <c r="A31" s="166" t="s">
        <v>765</v>
      </c>
      <c r="B31" s="166" t="s">
        <v>766</v>
      </c>
      <c r="C31" s="187">
        <f t="shared" si="1"/>
        <v>0.410765</v>
      </c>
      <c r="D31" s="188" t="str">
        <f t="shared" si="2"/>
        <v>28  junio  2019</v>
      </c>
      <c r="E31" s="189" t="str">
        <f t="shared" si="3"/>
        <v>2019 Q1</v>
      </c>
    </row>
    <row r="32">
      <c r="A32" s="166" t="s">
        <v>765</v>
      </c>
      <c r="B32" s="166" t="s">
        <v>767</v>
      </c>
      <c r="C32" s="187">
        <f t="shared" si="1"/>
        <v>0.255037</v>
      </c>
      <c r="D32" s="188" t="str">
        <f t="shared" si="2"/>
        <v>28  junio  2019</v>
      </c>
      <c r="E32" s="189" t="str">
        <f t="shared" si="3"/>
        <v>2019 Q1</v>
      </c>
    </row>
    <row r="33">
      <c r="A33" s="166" t="s">
        <v>768</v>
      </c>
      <c r="B33" s="166" t="s">
        <v>769</v>
      </c>
      <c r="C33" s="187">
        <f t="shared" si="1"/>
        <v>0.25632</v>
      </c>
      <c r="D33" s="188" t="str">
        <f t="shared" si="2"/>
        <v>29  marzo  2019</v>
      </c>
      <c r="E33" s="189" t="str">
        <f t="shared" si="3"/>
        <v>2018 Q4</v>
      </c>
    </row>
    <row r="34">
      <c r="A34" s="166" t="s">
        <v>768</v>
      </c>
      <c r="B34" s="166" t="s">
        <v>770</v>
      </c>
      <c r="C34" s="187">
        <f t="shared" si="1"/>
        <v>0.358361</v>
      </c>
      <c r="D34" s="188" t="str">
        <f t="shared" si="2"/>
        <v>29  marzo  2019</v>
      </c>
      <c r="E34" s="189" t="str">
        <f t="shared" si="3"/>
        <v>2018 Q4</v>
      </c>
    </row>
    <row r="35">
      <c r="A35" s="166" t="s">
        <v>771</v>
      </c>
      <c r="B35" s="166" t="s">
        <v>772</v>
      </c>
      <c r="C35" s="187">
        <f t="shared" si="1"/>
        <v>0.64313</v>
      </c>
      <c r="D35" s="188" t="str">
        <f t="shared" si="2"/>
        <v>4  enero  2019</v>
      </c>
      <c r="E35" s="189" t="str">
        <f t="shared" si="3"/>
        <v>2018 Q4</v>
      </c>
    </row>
    <row r="36">
      <c r="A36" s="166" t="s">
        <v>771</v>
      </c>
      <c r="B36" s="166" t="s">
        <v>773</v>
      </c>
      <c r="C36" s="187">
        <f t="shared" si="1"/>
        <v>0.077037</v>
      </c>
      <c r="D36" s="188" t="str">
        <f t="shared" si="2"/>
        <v>4  enero  2019</v>
      </c>
      <c r="E36" s="189" t="str">
        <f t="shared" si="3"/>
        <v>2018 Q4</v>
      </c>
    </row>
    <row r="37">
      <c r="A37" s="166" t="s">
        <v>774</v>
      </c>
      <c r="B37" s="166" t="s">
        <v>775</v>
      </c>
      <c r="C37" s="187">
        <f t="shared" si="1"/>
        <v>0.55422</v>
      </c>
      <c r="D37" s="188" t="str">
        <f t="shared" si="2"/>
        <v>28  septiembre  2018</v>
      </c>
      <c r="E37" s="189" t="str">
        <f t="shared" si="3"/>
        <v>2018 Q2</v>
      </c>
    </row>
    <row r="38">
      <c r="A38" s="166" t="s">
        <v>774</v>
      </c>
      <c r="B38" s="166" t="s">
        <v>776</v>
      </c>
      <c r="C38" s="187">
        <f t="shared" si="1"/>
        <v>0.221162</v>
      </c>
      <c r="D38" s="188" t="str">
        <f t="shared" si="2"/>
        <v>28  septiembre  2018</v>
      </c>
      <c r="E38" s="189" t="str">
        <f t="shared" si="3"/>
        <v>2018 Q2</v>
      </c>
    </row>
    <row r="39">
      <c r="A39" s="166" t="s">
        <v>777</v>
      </c>
      <c r="B39" s="166" t="s">
        <v>778</v>
      </c>
      <c r="C39" s="187">
        <f t="shared" si="1"/>
        <v>0.450609</v>
      </c>
      <c r="D39" s="188" t="str">
        <f t="shared" si="2"/>
        <v>29  junio  2018</v>
      </c>
      <c r="E39" s="189" t="str">
        <f t="shared" si="3"/>
        <v>2018 Q2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>
      <c r="A1" s="159" t="s">
        <v>85</v>
      </c>
      <c r="B1" s="158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  <c r="G1" s="159" t="s">
        <v>361</v>
      </c>
      <c r="H1" s="159" t="s">
        <v>362</v>
      </c>
      <c r="I1" s="159" t="s">
        <v>363</v>
      </c>
      <c r="J1" s="159" t="s">
        <v>364</v>
      </c>
    </row>
    <row r="2" ht="13.5" customHeight="1">
      <c r="A2" s="160" t="s">
        <v>428</v>
      </c>
      <c r="B2" s="191">
        <v>1.17304E8</v>
      </c>
      <c r="C2" s="167">
        <v>2.82817E8</v>
      </c>
      <c r="D2" s="167">
        <v>2.84877E8</v>
      </c>
      <c r="E2" s="167">
        <v>2.66498E8</v>
      </c>
      <c r="F2" s="167">
        <v>2.91105E8</v>
      </c>
      <c r="G2" s="167">
        <v>2.5828E8</v>
      </c>
      <c r="H2" s="167">
        <v>2.17725E8</v>
      </c>
      <c r="I2" s="167">
        <v>2.12533E8</v>
      </c>
      <c r="J2" s="167">
        <v>9.5828E7</v>
      </c>
    </row>
    <row r="3" ht="13.5" customHeight="1">
      <c r="A3" s="160" t="s">
        <v>429</v>
      </c>
      <c r="B3" s="191">
        <v>1.24578E8</v>
      </c>
      <c r="C3" s="167">
        <v>6.30894E8</v>
      </c>
      <c r="D3" s="167">
        <v>6.20868E8</v>
      </c>
      <c r="E3" s="167">
        <v>5.81909E8</v>
      </c>
      <c r="F3" s="167">
        <v>6.07664E8</v>
      </c>
      <c r="G3" s="167">
        <v>5.69615E8</v>
      </c>
      <c r="H3" s="167">
        <v>5.10187E8</v>
      </c>
      <c r="I3" s="167">
        <v>5.27763E8</v>
      </c>
      <c r="J3" s="167">
        <v>2.1547E8</v>
      </c>
    </row>
    <row r="4" ht="13.5" customHeight="1">
      <c r="A4" s="160" t="s">
        <v>430</v>
      </c>
      <c r="B4" s="191">
        <v>9.5934274E7</v>
      </c>
      <c r="C4" s="167">
        <v>4.423E8</v>
      </c>
      <c r="D4" s="167">
        <v>4.37675E8</v>
      </c>
      <c r="E4" s="167">
        <v>3.88E8</v>
      </c>
      <c r="F4" s="167">
        <v>4.34072E8</v>
      </c>
      <c r="G4" s="167">
        <v>3.81289E8</v>
      </c>
      <c r="H4" s="167">
        <v>3.59903E8</v>
      </c>
      <c r="I4" s="167">
        <v>3.7326047E8</v>
      </c>
      <c r="J4" s="167">
        <v>1.48554853E8</v>
      </c>
    </row>
    <row r="5" ht="13.5" customHeight="1">
      <c r="A5" s="160" t="s">
        <v>431</v>
      </c>
      <c r="B5" s="192">
        <v>0.7701</v>
      </c>
      <c r="C5" s="169">
        <v>0.7011</v>
      </c>
      <c r="D5" s="169">
        <v>0.7049</v>
      </c>
      <c r="E5" s="169">
        <v>0.6668</v>
      </c>
      <c r="F5" s="169">
        <v>0.7143</v>
      </c>
      <c r="G5" s="169">
        <v>0.6694</v>
      </c>
      <c r="H5" s="169">
        <v>0.7054</v>
      </c>
      <c r="I5" s="169">
        <v>0.7073</v>
      </c>
      <c r="J5" s="169">
        <v>0.6894</v>
      </c>
    </row>
    <row r="6" ht="13.5" customHeight="1">
      <c r="A6" s="160" t="s">
        <v>432</v>
      </c>
      <c r="B6" s="191">
        <v>5.0706957E7</v>
      </c>
      <c r="C6" s="167">
        <v>1.50998E8</v>
      </c>
      <c r="D6" s="167">
        <v>1.74521E8</v>
      </c>
      <c r="E6" s="167">
        <v>1.61348E8</v>
      </c>
      <c r="F6" s="167">
        <v>1.91165E8</v>
      </c>
      <c r="G6" s="167">
        <v>1.56536E8</v>
      </c>
      <c r="H6" s="167">
        <v>1.07398E8</v>
      </c>
      <c r="I6" s="167">
        <v>1.65669855E8</v>
      </c>
      <c r="J6" s="167">
        <v>7.6786388E7</v>
      </c>
    </row>
    <row r="7" ht="13.5" customHeight="1">
      <c r="A7" s="160" t="s">
        <v>433</v>
      </c>
      <c r="B7" s="192">
        <v>0.407</v>
      </c>
      <c r="C7" s="169">
        <v>0.2393</v>
      </c>
      <c r="D7" s="169">
        <v>0.2811</v>
      </c>
      <c r="E7" s="169">
        <v>0.2773</v>
      </c>
      <c r="F7" s="169">
        <v>0.3146</v>
      </c>
      <c r="G7" s="169">
        <v>0.2748</v>
      </c>
      <c r="H7" s="169">
        <v>0.2105</v>
      </c>
      <c r="I7" s="169">
        <v>0.3139</v>
      </c>
      <c r="J7" s="169">
        <v>0.3564</v>
      </c>
    </row>
    <row r="8" ht="13.5" customHeight="1">
      <c r="A8" s="160" t="s">
        <v>434</v>
      </c>
      <c r="B8" s="193">
        <v>0.23</v>
      </c>
      <c r="C8" s="161">
        <v>0.19</v>
      </c>
      <c r="D8" s="161">
        <v>0.24</v>
      </c>
      <c r="E8" s="161">
        <v>0.22</v>
      </c>
      <c r="F8" s="161">
        <v>0.26</v>
      </c>
      <c r="G8" s="161">
        <v>0.22</v>
      </c>
      <c r="H8" s="161">
        <v>0.15</v>
      </c>
      <c r="I8" s="161">
        <v>0.23</v>
      </c>
      <c r="J8" s="161">
        <v>0.11</v>
      </c>
    </row>
    <row r="9" ht="42.75" customHeight="1">
      <c r="A9" s="160" t="s">
        <v>435</v>
      </c>
      <c r="B9" s="191">
        <v>0.0</v>
      </c>
      <c r="C9" s="167">
        <v>0.0</v>
      </c>
      <c r="D9" s="167">
        <v>0.0</v>
      </c>
      <c r="E9" s="167">
        <v>0.0</v>
      </c>
      <c r="F9" s="161">
        <v>6.0001171108E8</v>
      </c>
      <c r="G9" s="161">
        <v>6.0001171108E8</v>
      </c>
      <c r="H9" s="167">
        <v>0.0</v>
      </c>
      <c r="I9" s="167">
        <v>0.0</v>
      </c>
      <c r="J9" s="167">
        <v>0.0</v>
      </c>
    </row>
    <row r="10" ht="13.5" customHeight="1">
      <c r="A10" s="160" t="s">
        <v>154</v>
      </c>
      <c r="B10" s="191">
        <v>0.0</v>
      </c>
      <c r="C10" s="167">
        <v>0.0</v>
      </c>
      <c r="D10" s="167">
        <v>0.0</v>
      </c>
      <c r="E10" s="167">
        <v>0.0</v>
      </c>
      <c r="F10" s="161">
        <v>0.83</v>
      </c>
      <c r="G10" s="161">
        <v>0.83</v>
      </c>
      <c r="H10" s="167">
        <v>0.0</v>
      </c>
      <c r="I10" s="167">
        <v>0.0</v>
      </c>
      <c r="J10" s="167">
        <v>0.0</v>
      </c>
    </row>
    <row r="11" ht="13.5" customHeight="1">
      <c r="A11" s="160" t="s">
        <v>436</v>
      </c>
      <c r="B11" s="195">
        <v>2.23240244E8</v>
      </c>
      <c r="C11" s="171">
        <v>7.81694809E8</v>
      </c>
      <c r="D11" s="171">
        <v>7.22905676E8</v>
      </c>
      <c r="E11" s="171">
        <v>7.22905676E8</v>
      </c>
      <c r="F11" s="171">
        <v>7.22905676E8</v>
      </c>
      <c r="G11" s="171">
        <v>7.22905676E8</v>
      </c>
      <c r="H11" s="171">
        <v>7.14236948E8</v>
      </c>
      <c r="I11" s="171">
        <v>7.14236948E8</v>
      </c>
      <c r="J11" s="171">
        <v>7.14236948E8</v>
      </c>
    </row>
    <row r="12" ht="13.5" customHeight="1">
      <c r="A12" s="172" t="s">
        <v>382</v>
      </c>
      <c r="B12" s="173"/>
      <c r="C12" s="173">
        <v>0.0365</v>
      </c>
      <c r="D12" s="173">
        <v>0.0369</v>
      </c>
      <c r="E12" s="173"/>
      <c r="F12" s="173"/>
      <c r="G12" s="173"/>
      <c r="H12" s="173"/>
    </row>
    <row r="13" ht="13.5" customHeight="1">
      <c r="A13" s="179" t="s">
        <v>383</v>
      </c>
      <c r="B13" s="196"/>
      <c r="C13" s="176">
        <v>3.908474045E10</v>
      </c>
      <c r="D13" s="176">
        <v>3.61452838E10</v>
      </c>
      <c r="E13" s="176"/>
      <c r="F13" s="176"/>
      <c r="G13" s="176"/>
      <c r="H13" s="176"/>
    </row>
    <row r="14" ht="13.5" customHeight="1">
      <c r="A14" s="179" t="s">
        <v>438</v>
      </c>
      <c r="B14" s="173"/>
      <c r="C14" s="173">
        <v>0.0101</v>
      </c>
      <c r="D14" s="173">
        <v>-0.0419</v>
      </c>
      <c r="E14" s="173"/>
      <c r="F14" s="173"/>
      <c r="G14" s="173"/>
      <c r="H14" s="173"/>
    </row>
    <row r="15" ht="13.5" customHeight="1">
      <c r="A15" s="179" t="s">
        <v>439</v>
      </c>
      <c r="B15" s="173"/>
      <c r="C15" s="173">
        <v>0.2519</v>
      </c>
      <c r="D15" s="173">
        <v>0.2382</v>
      </c>
      <c r="E15" s="173"/>
      <c r="F15" s="173"/>
      <c r="G15" s="173"/>
      <c r="H15" s="173"/>
    </row>
    <row r="16" ht="13.5" customHeight="1">
      <c r="A16" s="179" t="s">
        <v>440</v>
      </c>
      <c r="B16" s="173"/>
      <c r="C16" s="173">
        <v>0.0</v>
      </c>
      <c r="D16" s="173">
        <v>0.0</v>
      </c>
      <c r="E16" s="173"/>
      <c r="F16" s="173"/>
      <c r="G16" s="173"/>
      <c r="H16" s="173"/>
    </row>
    <row r="17" ht="13.5" customHeight="1">
      <c r="A17" s="179" t="s">
        <v>389</v>
      </c>
      <c r="B17" s="198"/>
      <c r="C17" s="198">
        <v>49.5</v>
      </c>
      <c r="D17" s="198">
        <v>52.19</v>
      </c>
      <c r="E17" s="198"/>
      <c r="F17" s="198"/>
      <c r="G17" s="198"/>
      <c r="H17" s="198"/>
    </row>
    <row r="18" ht="13.5" customHeight="1">
      <c r="A18" s="179" t="s">
        <v>390</v>
      </c>
      <c r="B18" s="200"/>
      <c r="C18" s="200">
        <v>0.016</v>
      </c>
      <c r="D18" s="200">
        <v>0.0114</v>
      </c>
      <c r="E18" s="200"/>
      <c r="F18" s="200"/>
      <c r="G18" s="200"/>
      <c r="H18" s="200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>
      <c r="A1" s="159" t="s">
        <v>87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  <c r="G1" s="159" t="s">
        <v>361</v>
      </c>
      <c r="H1" s="159" t="s">
        <v>362</v>
      </c>
      <c r="I1" s="159" t="s">
        <v>363</v>
      </c>
      <c r="J1" s="159" t="s">
        <v>364</v>
      </c>
      <c r="K1" s="159" t="s">
        <v>365</v>
      </c>
      <c r="L1" s="159" t="s">
        <v>366</v>
      </c>
      <c r="M1" s="159" t="s">
        <v>367</v>
      </c>
      <c r="N1" s="159" t="s">
        <v>368</v>
      </c>
      <c r="O1" s="159" t="s">
        <v>369</v>
      </c>
      <c r="P1" s="159" t="s">
        <v>370</v>
      </c>
      <c r="Q1" s="159" t="s">
        <v>371</v>
      </c>
      <c r="R1" s="159" t="s">
        <v>372</v>
      </c>
    </row>
    <row r="2" ht="13.5" customHeight="1">
      <c r="A2" s="160" t="s">
        <v>428</v>
      </c>
      <c r="B2" s="160"/>
      <c r="C2" s="167">
        <v>1.09693E8</v>
      </c>
      <c r="D2" s="167">
        <v>1.07698E8</v>
      </c>
      <c r="E2" s="167">
        <v>1.04426E8</v>
      </c>
      <c r="F2" s="167">
        <v>1.01562E8</v>
      </c>
      <c r="G2" s="167">
        <v>9.2185E7</v>
      </c>
      <c r="H2" s="167">
        <v>7.5906E7</v>
      </c>
      <c r="I2" s="167">
        <v>7.1514E7</v>
      </c>
      <c r="J2" s="167">
        <v>6.7826E7</v>
      </c>
      <c r="K2" s="167">
        <v>6.6913E7</v>
      </c>
      <c r="L2" s="167">
        <v>6.509E7</v>
      </c>
      <c r="M2" s="167">
        <v>5.8902527E7</v>
      </c>
      <c r="N2" s="167">
        <v>6.0806475E7</v>
      </c>
      <c r="O2" s="167">
        <v>5.0061692E7</v>
      </c>
      <c r="P2" s="167">
        <v>3.7765275E7</v>
      </c>
      <c r="Q2" s="167">
        <v>2.6092387E7</v>
      </c>
      <c r="R2" s="167">
        <v>2.5513762E7</v>
      </c>
    </row>
    <row r="3" ht="13.5" customHeight="1">
      <c r="A3" s="160" t="s">
        <v>429</v>
      </c>
      <c r="B3" s="160"/>
      <c r="C3" s="167">
        <v>1.1829E8</v>
      </c>
      <c r="D3" s="167">
        <v>1.16602E8</v>
      </c>
      <c r="E3" s="167">
        <v>1.08117E8</v>
      </c>
      <c r="F3" s="167">
        <v>1.03619E8</v>
      </c>
      <c r="G3" s="167">
        <v>9.651E7</v>
      </c>
      <c r="H3" s="167">
        <v>8.0137E7</v>
      </c>
      <c r="I3" s="167">
        <v>7.5518E7</v>
      </c>
      <c r="J3" s="167">
        <v>7.1367E7</v>
      </c>
      <c r="K3" s="167">
        <v>7.2695E7</v>
      </c>
      <c r="L3" s="167">
        <v>7.2982109E7</v>
      </c>
      <c r="M3" s="167">
        <v>6.3690783E7</v>
      </c>
      <c r="N3" s="167">
        <v>6.3573187E7</v>
      </c>
      <c r="O3" s="167">
        <v>5.1621284E7</v>
      </c>
      <c r="P3" s="167">
        <v>3.9446713E7</v>
      </c>
      <c r="Q3" s="167">
        <v>2.8784596E7</v>
      </c>
      <c r="R3" s="167">
        <v>2.6648874E7</v>
      </c>
    </row>
    <row r="4" ht="13.5" customHeight="1">
      <c r="A4" s="160" t="s">
        <v>430</v>
      </c>
      <c r="B4" s="160"/>
      <c r="C4" s="167">
        <v>9.1121848E7</v>
      </c>
      <c r="D4" s="167">
        <v>8.7858631E7</v>
      </c>
      <c r="E4" s="167">
        <v>8.1081778E7</v>
      </c>
      <c r="F4" s="167">
        <v>8.1411698E7</v>
      </c>
      <c r="G4" s="167">
        <v>6.7440149E7</v>
      </c>
      <c r="H4" s="167">
        <v>6.0388087E7</v>
      </c>
      <c r="I4" s="167">
        <v>5.7472576E7</v>
      </c>
      <c r="J4" s="167">
        <v>5.2819231E7</v>
      </c>
      <c r="K4" s="167">
        <v>5.1882244E7</v>
      </c>
      <c r="L4" s="167">
        <v>5.1174474E7</v>
      </c>
      <c r="M4" s="167">
        <v>4.5811547E7</v>
      </c>
      <c r="N4" s="167">
        <v>4.816378E7</v>
      </c>
      <c r="O4" s="167">
        <v>3.4410775E7</v>
      </c>
      <c r="P4" s="167">
        <v>2.9536135E7</v>
      </c>
      <c r="Q4" s="167">
        <v>2.0701905E7</v>
      </c>
      <c r="R4" s="167">
        <v>1.8451767E7</v>
      </c>
    </row>
    <row r="5" ht="13.5" customHeight="1">
      <c r="A5" s="160" t="s">
        <v>431</v>
      </c>
      <c r="B5" s="160"/>
      <c r="C5" s="169">
        <v>0.7703</v>
      </c>
      <c r="D5" s="169">
        <v>0.7535</v>
      </c>
      <c r="E5" s="169">
        <v>0.7499</v>
      </c>
      <c r="F5" s="169">
        <v>0.7857</v>
      </c>
      <c r="G5" s="169">
        <v>0.6988</v>
      </c>
      <c r="H5" s="169">
        <v>0.7536</v>
      </c>
      <c r="I5" s="169">
        <v>0.761</v>
      </c>
      <c r="J5" s="169">
        <v>0.7401</v>
      </c>
      <c r="K5" s="169">
        <v>0.7239</v>
      </c>
      <c r="L5" s="169">
        <v>0.7012</v>
      </c>
      <c r="M5" s="169">
        <v>0.7193</v>
      </c>
      <c r="N5" s="169">
        <v>0.7576</v>
      </c>
      <c r="O5" s="169">
        <v>0.6666</v>
      </c>
      <c r="P5" s="169">
        <v>0.7488</v>
      </c>
      <c r="Q5" s="169">
        <v>0.7192</v>
      </c>
      <c r="R5" s="169">
        <v>0.6924</v>
      </c>
    </row>
    <row r="6" ht="13.5" customHeight="1">
      <c r="A6" s="160" t="s">
        <v>432</v>
      </c>
      <c r="B6" s="160"/>
      <c r="C6" s="167">
        <v>5.178574E7</v>
      </c>
      <c r="D6" s="167">
        <v>4.2634844E7</v>
      </c>
      <c r="E6" s="167">
        <v>2.9835366E7</v>
      </c>
      <c r="F6" s="167">
        <v>2.6988675E7</v>
      </c>
      <c r="G6" s="167">
        <v>3.7391819E7</v>
      </c>
      <c r="H6" s="167">
        <v>2.4957835E7</v>
      </c>
      <c r="I6" s="167">
        <v>3.8692437E7</v>
      </c>
      <c r="J6" s="167">
        <v>4.0733294E7</v>
      </c>
      <c r="K6" s="167">
        <v>3.9441527E7</v>
      </c>
      <c r="L6" s="167">
        <v>4.4071038E7</v>
      </c>
      <c r="M6" s="167">
        <v>2.6851719E7</v>
      </c>
      <c r="N6" s="167">
        <v>3.8134659E7</v>
      </c>
      <c r="O6" s="167">
        <v>1.2565861E7</v>
      </c>
      <c r="P6" s="167">
        <v>1.3479309E7</v>
      </c>
      <c r="Q6" s="167">
        <v>1.7936328E7</v>
      </c>
      <c r="R6" s="167">
        <v>1.1178706E7</v>
      </c>
    </row>
    <row r="7" ht="13.5" customHeight="1">
      <c r="A7" s="160" t="s">
        <v>433</v>
      </c>
      <c r="B7" s="160"/>
      <c r="C7" s="169">
        <v>0.4378</v>
      </c>
      <c r="D7" s="169">
        <v>0.3656</v>
      </c>
      <c r="E7" s="169">
        <v>0.276</v>
      </c>
      <c r="F7" s="169">
        <v>0.2605</v>
      </c>
      <c r="G7" s="169">
        <v>0.3874</v>
      </c>
      <c r="H7" s="169">
        <v>0.3114</v>
      </c>
      <c r="I7" s="169">
        <v>0.5124</v>
      </c>
      <c r="J7" s="169">
        <v>0.5708</v>
      </c>
      <c r="K7" s="169">
        <v>0.5426</v>
      </c>
      <c r="L7" s="169">
        <v>0.6039</v>
      </c>
      <c r="M7" s="169">
        <v>0.4216</v>
      </c>
      <c r="N7" s="169">
        <v>0.5999</v>
      </c>
      <c r="O7" s="169">
        <v>0.2434</v>
      </c>
      <c r="P7" s="169">
        <v>0.3417</v>
      </c>
      <c r="Q7" s="169">
        <v>0.6231</v>
      </c>
      <c r="R7" s="169">
        <v>0.4195</v>
      </c>
    </row>
    <row r="8" ht="13.5" customHeight="1">
      <c r="A8" s="160" t="s">
        <v>434</v>
      </c>
      <c r="B8" s="160"/>
      <c r="C8" s="161">
        <v>0.23</v>
      </c>
      <c r="D8" s="161">
        <v>0.19</v>
      </c>
      <c r="E8" s="161">
        <v>0.13</v>
      </c>
      <c r="F8" s="161">
        <v>0.12</v>
      </c>
      <c r="G8" s="161">
        <v>0.17</v>
      </c>
      <c r="H8" s="161">
        <v>0.12</v>
      </c>
      <c r="I8" s="161">
        <v>0.19</v>
      </c>
      <c r="J8" s="161">
        <v>0.2</v>
      </c>
      <c r="K8" s="161">
        <v>0.2</v>
      </c>
      <c r="L8" s="161">
        <v>0.22</v>
      </c>
      <c r="M8" s="161">
        <v>0.13</v>
      </c>
      <c r="N8" s="161">
        <v>0.19</v>
      </c>
      <c r="O8" s="161">
        <v>0.06</v>
      </c>
      <c r="P8" s="161">
        <v>0.07</v>
      </c>
      <c r="Q8" s="161">
        <v>0.15</v>
      </c>
      <c r="R8" s="161">
        <v>0.11</v>
      </c>
    </row>
    <row r="9" ht="13.5" customHeight="1">
      <c r="A9" s="160" t="s">
        <v>435</v>
      </c>
      <c r="B9" s="160"/>
      <c r="C9" s="167">
        <v>0.0</v>
      </c>
      <c r="D9" s="167">
        <v>0.0</v>
      </c>
      <c r="E9" s="167">
        <v>0.0</v>
      </c>
      <c r="F9" s="161">
        <v>7.738224388E7</v>
      </c>
      <c r="G9" s="161">
        <v>7.739190311E7</v>
      </c>
      <c r="H9" s="167">
        <v>0.0</v>
      </c>
      <c r="I9" s="167">
        <v>0.0</v>
      </c>
      <c r="J9" s="167">
        <v>4.326E7</v>
      </c>
      <c r="K9" s="167">
        <v>4.32716E7</v>
      </c>
      <c r="L9" s="167">
        <v>0.0</v>
      </c>
      <c r="M9" s="167">
        <v>0.0</v>
      </c>
      <c r="N9" s="167">
        <v>0.0</v>
      </c>
      <c r="O9" s="167">
        <v>0.0</v>
      </c>
      <c r="P9" s="167">
        <v>0.0</v>
      </c>
      <c r="Q9" s="167">
        <v>0.0</v>
      </c>
      <c r="R9" s="167">
        <v>1.1E7</v>
      </c>
    </row>
    <row r="10" ht="13.5" customHeight="1">
      <c r="A10" s="160" t="s">
        <v>154</v>
      </c>
      <c r="B10" s="160"/>
      <c r="C10" s="167">
        <v>0.0</v>
      </c>
      <c r="D10" s="167">
        <v>0.0</v>
      </c>
      <c r="E10" s="167">
        <v>0.0</v>
      </c>
      <c r="F10" s="161">
        <v>0.35</v>
      </c>
      <c r="G10" s="161">
        <v>0.36</v>
      </c>
      <c r="H10" s="167">
        <v>0.0</v>
      </c>
      <c r="I10" s="167">
        <v>0.0</v>
      </c>
      <c r="J10" s="161">
        <v>0.22</v>
      </c>
      <c r="K10" s="161">
        <v>0.22</v>
      </c>
      <c r="L10" s="167">
        <v>0.0</v>
      </c>
      <c r="M10" s="167">
        <v>0.0</v>
      </c>
      <c r="N10" s="167">
        <v>0.0</v>
      </c>
      <c r="O10" s="167">
        <v>0.0</v>
      </c>
      <c r="P10" s="167">
        <v>0.0</v>
      </c>
      <c r="Q10" s="167">
        <v>0.0</v>
      </c>
      <c r="R10" s="167">
        <v>0.0</v>
      </c>
    </row>
    <row r="11" ht="13.5" customHeight="1">
      <c r="A11" s="160" t="s">
        <v>436</v>
      </c>
      <c r="B11" s="160"/>
      <c r="C11" s="171">
        <v>2.23295984E8</v>
      </c>
      <c r="D11" s="171">
        <v>2.22836633E8</v>
      </c>
      <c r="E11" s="171">
        <v>2.22948396E8</v>
      </c>
      <c r="F11" s="171">
        <v>2.19151073E8</v>
      </c>
      <c r="G11" s="171">
        <v>2.16966367E8</v>
      </c>
      <c r="H11" s="171">
        <v>2.16966367E8</v>
      </c>
      <c r="I11" s="171">
        <v>2.0E8</v>
      </c>
      <c r="J11" s="171">
        <v>2.0E8</v>
      </c>
      <c r="K11" s="171">
        <v>2.0E8</v>
      </c>
      <c r="L11" s="171">
        <v>2.0E8</v>
      </c>
      <c r="M11" s="171">
        <v>2.0E8</v>
      </c>
      <c r="N11" s="171">
        <v>1.98314279E8</v>
      </c>
      <c r="O11" s="171">
        <v>1.98314279E8</v>
      </c>
      <c r="P11" s="171">
        <v>1.86128678E8</v>
      </c>
      <c r="Q11" s="171">
        <v>1.18631163E8</v>
      </c>
      <c r="R11" s="171">
        <v>1.0E8</v>
      </c>
    </row>
    <row r="12" ht="13.5" customHeight="1">
      <c r="A12" s="172" t="s">
        <v>382</v>
      </c>
      <c r="B12" s="173"/>
      <c r="C12" s="173">
        <v>0.0695</v>
      </c>
      <c r="D12" s="173">
        <v>0.0725</v>
      </c>
      <c r="E12" s="173"/>
      <c r="F12" s="173"/>
      <c r="G12" s="173"/>
    </row>
    <row r="13" ht="13.5" customHeight="1">
      <c r="A13" s="179" t="s">
        <v>383</v>
      </c>
      <c r="B13" s="196"/>
      <c r="C13" s="176">
        <v>3.74266983075E9</v>
      </c>
      <c r="D13" s="176">
        <v>3.788222761E9</v>
      </c>
      <c r="E13" s="196"/>
      <c r="F13" s="196"/>
      <c r="G13" s="196"/>
    </row>
    <row r="14" ht="13.5" customHeight="1">
      <c r="A14" s="179" t="s">
        <v>438</v>
      </c>
      <c r="B14" s="173"/>
      <c r="C14" s="173">
        <v>-0.1822</v>
      </c>
      <c r="D14" s="173">
        <v>-0.1553</v>
      </c>
      <c r="E14" s="173"/>
      <c r="F14" s="173"/>
      <c r="G14" s="173"/>
    </row>
    <row r="15" ht="13.5" customHeight="1">
      <c r="A15" s="179" t="s">
        <v>439</v>
      </c>
      <c r="B15" s="173"/>
      <c r="C15" s="173">
        <v>0.2267</v>
      </c>
      <c r="D15" s="173">
        <v>0.2371</v>
      </c>
      <c r="E15" s="173"/>
      <c r="F15" s="173"/>
      <c r="G15" s="173"/>
    </row>
    <row r="16" ht="13.5" customHeight="1">
      <c r="A16" s="179" t="s">
        <v>440</v>
      </c>
      <c r="B16" s="173"/>
      <c r="C16" s="173">
        <v>0.0</v>
      </c>
      <c r="D16" s="173">
        <v>0.0</v>
      </c>
      <c r="E16" s="173"/>
      <c r="F16" s="173"/>
      <c r="G16" s="173"/>
    </row>
    <row r="17" ht="13.5" customHeight="1">
      <c r="A17" s="179" t="s">
        <v>389</v>
      </c>
      <c r="B17" s="198"/>
      <c r="C17" s="198">
        <v>21.09</v>
      </c>
      <c r="D17" s="198">
        <v>20.13</v>
      </c>
      <c r="E17" s="198"/>
      <c r="F17" s="198"/>
      <c r="G17" s="198"/>
    </row>
    <row r="18" ht="13.5" customHeight="1">
      <c r="A18" s="179" t="s">
        <v>390</v>
      </c>
      <c r="B18" s="200"/>
      <c r="C18" s="200">
        <v>0.0491</v>
      </c>
      <c r="D18" s="200">
        <v>0.0368</v>
      </c>
      <c r="E18" s="200"/>
      <c r="F18" s="200"/>
      <c r="G18" s="200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>
      <c r="A1" s="159" t="s">
        <v>89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  <c r="G1" s="159" t="s">
        <v>361</v>
      </c>
      <c r="H1" s="159" t="s">
        <v>362</v>
      </c>
      <c r="I1" s="159" t="s">
        <v>363</v>
      </c>
      <c r="J1" s="159" t="s">
        <v>364</v>
      </c>
      <c r="K1" s="159" t="s">
        <v>365</v>
      </c>
    </row>
    <row r="2" ht="13.5" customHeight="1">
      <c r="A2" s="160" t="s">
        <v>428</v>
      </c>
      <c r="B2" s="160"/>
      <c r="C2" s="160"/>
      <c r="D2" s="167">
        <v>1.570486E9</v>
      </c>
      <c r="E2" s="167">
        <v>1.525894E9</v>
      </c>
      <c r="F2" s="167">
        <v>1.474239E9</v>
      </c>
      <c r="G2" s="167">
        <v>1.26192E9</v>
      </c>
      <c r="H2" s="167">
        <v>1.188927E9</v>
      </c>
      <c r="I2" s="167">
        <v>1.031208E9</v>
      </c>
      <c r="J2" s="167">
        <v>7.81305E8</v>
      </c>
      <c r="K2" s="167">
        <v>7.05898E8</v>
      </c>
    </row>
    <row r="3" ht="13.5" customHeight="1">
      <c r="A3" s="160" t="s">
        <v>429</v>
      </c>
      <c r="B3" s="160"/>
      <c r="C3" s="160"/>
      <c r="D3" s="167">
        <v>1.570486E9</v>
      </c>
      <c r="E3" s="167">
        <v>1.627875E9</v>
      </c>
      <c r="F3" s="167">
        <v>1.474239E9</v>
      </c>
      <c r="G3" s="167">
        <v>1.264848E9</v>
      </c>
      <c r="H3" s="167">
        <v>1.191175E9</v>
      </c>
      <c r="I3" s="167">
        <v>9.48602E8</v>
      </c>
      <c r="J3" s="167">
        <v>8.69091E8</v>
      </c>
      <c r="K3" s="167">
        <v>7.06727E8</v>
      </c>
    </row>
    <row r="4" ht="13.5" customHeight="1">
      <c r="A4" s="160" t="s">
        <v>430</v>
      </c>
      <c r="B4" s="160"/>
      <c r="C4" s="160"/>
      <c r="D4" s="160" t="s">
        <v>511</v>
      </c>
      <c r="E4" s="160" t="s">
        <v>511</v>
      </c>
      <c r="F4" s="160" t="s">
        <v>511</v>
      </c>
      <c r="G4" s="160" t="s">
        <v>511</v>
      </c>
      <c r="H4" s="160" t="s">
        <v>511</v>
      </c>
      <c r="I4" s="160" t="s">
        <v>511</v>
      </c>
      <c r="J4" s="160" t="s">
        <v>511</v>
      </c>
      <c r="K4" s="160" t="s">
        <v>511</v>
      </c>
    </row>
    <row r="5" ht="13.5" customHeight="1">
      <c r="A5" s="160" t="s">
        <v>431</v>
      </c>
      <c r="B5" s="160"/>
      <c r="C5" s="160"/>
      <c r="D5" s="160" t="s">
        <v>511</v>
      </c>
      <c r="E5" s="160" t="s">
        <v>511</v>
      </c>
      <c r="F5" s="160" t="s">
        <v>511</v>
      </c>
      <c r="G5" s="160" t="s">
        <v>511</v>
      </c>
      <c r="H5" s="160" t="s">
        <v>511</v>
      </c>
      <c r="I5" s="160" t="s">
        <v>511</v>
      </c>
      <c r="J5" s="160" t="s">
        <v>511</v>
      </c>
      <c r="K5" s="160" t="s">
        <v>511</v>
      </c>
    </row>
    <row r="6" ht="13.5" customHeight="1">
      <c r="A6" s="160" t="s">
        <v>432</v>
      </c>
      <c r="B6" s="160"/>
      <c r="C6" s="160"/>
      <c r="D6" s="160" t="s">
        <v>511</v>
      </c>
      <c r="E6" s="160" t="s">
        <v>511</v>
      </c>
      <c r="F6" s="160" t="s">
        <v>511</v>
      </c>
      <c r="G6" s="160" t="s">
        <v>511</v>
      </c>
      <c r="H6" s="167">
        <v>0.0</v>
      </c>
      <c r="I6" s="160" t="s">
        <v>511</v>
      </c>
      <c r="J6" s="160" t="s">
        <v>511</v>
      </c>
      <c r="K6" s="160" t="s">
        <v>511</v>
      </c>
    </row>
    <row r="7" ht="13.5" customHeight="1">
      <c r="A7" s="160" t="s">
        <v>433</v>
      </c>
      <c r="B7" s="160"/>
      <c r="C7" s="160"/>
      <c r="D7" s="160" t="s">
        <v>511</v>
      </c>
      <c r="E7" s="160" t="s">
        <v>511</v>
      </c>
      <c r="F7" s="160" t="s">
        <v>511</v>
      </c>
      <c r="G7" s="160" t="s">
        <v>511</v>
      </c>
      <c r="H7" s="160" t="s">
        <v>511</v>
      </c>
      <c r="I7" s="205">
        <v>0.0</v>
      </c>
      <c r="J7" s="205">
        <v>0.0</v>
      </c>
      <c r="K7" s="160" t="s">
        <v>511</v>
      </c>
    </row>
    <row r="8" ht="13.5" customHeight="1">
      <c r="A8" s="160" t="s">
        <v>434</v>
      </c>
      <c r="B8" s="160"/>
      <c r="C8" s="160"/>
      <c r="D8" s="160" t="s">
        <v>511</v>
      </c>
      <c r="E8" s="160" t="s">
        <v>511</v>
      </c>
      <c r="F8" s="160" t="s">
        <v>511</v>
      </c>
      <c r="G8" s="160" t="s">
        <v>511</v>
      </c>
      <c r="H8" s="167">
        <v>0.0</v>
      </c>
      <c r="I8" s="167">
        <v>0.0</v>
      </c>
      <c r="J8" s="167">
        <v>0.0</v>
      </c>
      <c r="K8" s="160" t="s">
        <v>511</v>
      </c>
    </row>
    <row r="9" ht="13.5" customHeight="1">
      <c r="A9" s="160" t="s">
        <v>435</v>
      </c>
      <c r="B9" s="160"/>
      <c r="C9" s="160"/>
      <c r="D9" s="167">
        <v>0.0</v>
      </c>
      <c r="E9" s="161">
        <v>3.6272292756E8</v>
      </c>
      <c r="F9" s="161">
        <v>2.9769696855E8</v>
      </c>
      <c r="G9" s="161">
        <v>2.99999971269E9</v>
      </c>
      <c r="H9" s="161">
        <v>1.8288550969E8</v>
      </c>
      <c r="I9" s="161">
        <v>1.4258296219E8</v>
      </c>
      <c r="J9" s="167">
        <v>0.0</v>
      </c>
      <c r="K9" s="167">
        <v>0.0</v>
      </c>
    </row>
    <row r="10" ht="13.5" customHeight="1">
      <c r="A10" s="160" t="s">
        <v>154</v>
      </c>
      <c r="B10" s="194">
        <f t="array" ref="B10">IF(SUMIFS(INDIRECT("'"&amp;A$1&amp;"_DIV'!"&amp;"C:C"),INDIRECT("'"&amp;A$1&amp;"_DIV'!"&amp;"E:E"),B1)=0,"",SUMIFS(INDIRECT("'"&amp;A$1&amp;"_DIV'!"&amp;"C:C"),INDIRECT("'"&amp;A$1&amp;"_DIV'!"&amp;"E:E"),B1))</f>
        <v>0.147633</v>
      </c>
      <c r="C10" s="194">
        <f t="array" ref="C10">SUMIFS(INDIRECT("'"&amp;A$1&amp;"_DIV'!"&amp;"C:C"),INDIRECT("'"&amp;A$1&amp;"_DIV'!"&amp;"E:E"),C1)</f>
        <v>0</v>
      </c>
      <c r="D10" s="194">
        <f t="array" ref="D10">SUMIFS(INDIRECT("'"&amp;A$1&amp;"_DIV'!"&amp;"C:C"),INDIRECT("'"&amp;A$1&amp;"_DIV'!"&amp;"E:E"),D1)</f>
        <v>0.116716</v>
      </c>
      <c r="E10" s="194">
        <f t="array" ref="E10">SUMIFS(INDIRECT("'"&amp;A$1&amp;"_DIV'!"&amp;"C:C"),INDIRECT("'"&amp;A$1&amp;"_DIV'!"&amp;"E:E"),E1)</f>
        <v>0.557121</v>
      </c>
      <c r="F10" s="194">
        <f t="array" ref="F10">SUMIFS(INDIRECT("'"&amp;A$1&amp;"_DIV'!"&amp;"C:C"),INDIRECT("'"&amp;A$1&amp;"_DIV'!"&amp;"E:E"),F1)</f>
        <v>0.08789</v>
      </c>
      <c r="G10" s="170">
        <v>0.89</v>
      </c>
      <c r="H10" s="170">
        <v>0.05</v>
      </c>
      <c r="I10" s="170">
        <v>0.04</v>
      </c>
      <c r="J10" s="167">
        <v>0.0</v>
      </c>
      <c r="K10" s="167">
        <v>0.0</v>
      </c>
    </row>
    <row r="11" ht="13.5" customHeight="1">
      <c r="A11" s="160" t="s">
        <v>436</v>
      </c>
      <c r="B11" s="160"/>
      <c r="C11" s="160"/>
      <c r="D11" s="171">
        <v>3.386768698E9</v>
      </c>
      <c r="E11" s="171">
        <v>3.386768698E9</v>
      </c>
      <c r="F11" s="171">
        <v>3.386768698E9</v>
      </c>
      <c r="G11" s="171">
        <v>3.386768698E9</v>
      </c>
      <c r="H11" s="171">
        <v>3.386768698E9</v>
      </c>
      <c r="I11" s="171">
        <v>3.386768698E9</v>
      </c>
      <c r="J11" s="171">
        <v>2.571443028E9</v>
      </c>
      <c r="K11" s="171">
        <v>2.571443028E9</v>
      </c>
    </row>
    <row r="12" ht="13.5" customHeight="1">
      <c r="A12" s="172" t="s">
        <v>382</v>
      </c>
      <c r="B12" s="173"/>
      <c r="C12" s="173"/>
      <c r="D12" s="173">
        <v>0.1113</v>
      </c>
      <c r="E12" s="173"/>
      <c r="F12" s="173"/>
      <c r="G12" s="173"/>
      <c r="H12" s="173"/>
      <c r="I12" s="173"/>
      <c r="J12" s="173"/>
      <c r="K12" s="173"/>
    </row>
    <row r="13" ht="13.5" customHeight="1">
      <c r="A13" s="179" t="s">
        <v>383</v>
      </c>
      <c r="B13" s="176"/>
      <c r="C13" s="176">
        <v>9.4829523544E10</v>
      </c>
      <c r="D13" s="176">
        <v>9.8216292242E10</v>
      </c>
      <c r="E13" s="176"/>
      <c r="F13" s="176"/>
      <c r="G13" s="176"/>
      <c r="H13" s="196"/>
      <c r="I13" s="196"/>
      <c r="J13" s="196"/>
      <c r="K13" s="196"/>
    </row>
    <row r="14" ht="13.5" customHeight="1">
      <c r="A14" s="179" t="s">
        <v>438</v>
      </c>
      <c r="B14" s="173"/>
      <c r="C14" s="173"/>
      <c r="D14" s="173">
        <v>0.64</v>
      </c>
      <c r="E14" s="173"/>
      <c r="F14" s="173"/>
      <c r="G14" s="173"/>
      <c r="H14" s="173"/>
      <c r="I14" s="173"/>
      <c r="J14" s="173"/>
      <c r="K14" s="173"/>
    </row>
    <row r="15" ht="13.5" customHeight="1">
      <c r="A15" s="179" t="s">
        <v>439</v>
      </c>
      <c r="B15" s="173"/>
      <c r="C15" s="173"/>
      <c r="D15" s="173"/>
      <c r="E15" s="173"/>
      <c r="F15" s="173"/>
      <c r="G15" s="173"/>
      <c r="H15" s="173"/>
      <c r="I15" s="173"/>
      <c r="J15" s="173"/>
      <c r="K15" s="173"/>
    </row>
    <row r="16" ht="13.5" customHeight="1">
      <c r="A16" s="179" t="s">
        <v>440</v>
      </c>
      <c r="B16" s="173"/>
      <c r="C16" s="173">
        <v>0.0077</v>
      </c>
      <c r="D16" s="173">
        <v>0.0</v>
      </c>
      <c r="E16" s="173"/>
      <c r="F16" s="173"/>
      <c r="G16" s="173"/>
      <c r="H16" s="173"/>
      <c r="I16" s="173"/>
      <c r="J16" s="173"/>
      <c r="K16" s="173"/>
    </row>
    <row r="17" ht="13.5" customHeight="1">
      <c r="A17" s="179" t="s">
        <v>389</v>
      </c>
      <c r="B17" s="198"/>
      <c r="C17" s="198"/>
      <c r="D17" s="198">
        <v>17.68</v>
      </c>
      <c r="E17" s="198"/>
      <c r="F17" s="198"/>
      <c r="G17" s="198"/>
      <c r="H17" s="198"/>
      <c r="I17" s="198"/>
      <c r="J17" s="198"/>
      <c r="K17" s="198"/>
    </row>
    <row r="18" ht="13.5" customHeight="1">
      <c r="A18" s="179" t="s">
        <v>390</v>
      </c>
      <c r="B18" s="200"/>
      <c r="C18" s="200"/>
      <c r="D18" s="200">
        <v>0.1216</v>
      </c>
      <c r="E18" s="200"/>
      <c r="F18" s="200"/>
      <c r="G18" s="200"/>
      <c r="H18" s="200"/>
      <c r="I18" s="200"/>
      <c r="J18" s="200"/>
      <c r="K18" s="200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6" t="s">
        <v>129</v>
      </c>
      <c r="B1" s="166" t="s">
        <v>155</v>
      </c>
    </row>
    <row r="2">
      <c r="A2" s="166" t="s">
        <v>779</v>
      </c>
      <c r="B2" s="166" t="s">
        <v>780</v>
      </c>
      <c r="C2" s="187">
        <f t="shared" ref="C2:C12" si="1">VALUE(SUBSTITUTE(SUBSTITUTE(B2,"MXN $",""),"",""))</f>
        <v>0.147633</v>
      </c>
      <c r="D2" s="188" t="str">
        <f t="shared" ref="D2:D12" si="2">SUBSTITUTE(SUBSTITUTE(A2,"de",""),"","")</f>
        <v>5  mayo  2023</v>
      </c>
      <c r="E2" s="189" t="str">
        <f t="shared" ref="E2:E12" si="3">IF(IF(ROUNDUP(MONTH(D2)/3,0)-1=0,4,ROUNDUP(MONTH(D2)/3,0)-1)=4,YEAR(D2)-1,YEAR(D2)) &amp; " Q" &amp; IF(ROUNDUP(MONTH(D2)/3,0)-1=0,4,ROUNDUP(MONTH(D2)/3,0)-1)</f>
        <v>2023 Q1</v>
      </c>
    </row>
    <row r="3">
      <c r="A3" s="166" t="s">
        <v>781</v>
      </c>
      <c r="B3" s="166" t="s">
        <v>782</v>
      </c>
      <c r="C3" s="187">
        <f t="shared" si="1"/>
        <v>0.116716</v>
      </c>
      <c r="D3" s="188" t="str">
        <f t="shared" si="2"/>
        <v>8  noviembre  2022</v>
      </c>
      <c r="E3" s="189" t="str">
        <f t="shared" si="3"/>
        <v>2022 Q3</v>
      </c>
    </row>
    <row r="4">
      <c r="A4" s="166" t="s">
        <v>783</v>
      </c>
      <c r="B4" s="166" t="s">
        <v>784</v>
      </c>
      <c r="C4" s="187">
        <f t="shared" si="1"/>
        <v>0.45</v>
      </c>
      <c r="D4" s="188" t="str">
        <f t="shared" si="2"/>
        <v>2  septiembre  2022</v>
      </c>
      <c r="E4" s="189" t="str">
        <f t="shared" si="3"/>
        <v>2022 Q2</v>
      </c>
    </row>
    <row r="5">
      <c r="A5" s="166" t="s">
        <v>785</v>
      </c>
      <c r="B5" s="166" t="s">
        <v>786</v>
      </c>
      <c r="C5" s="187">
        <f t="shared" si="1"/>
        <v>0.107121</v>
      </c>
      <c r="D5" s="188" t="str">
        <f t="shared" si="2"/>
        <v>1  agosto  2022</v>
      </c>
      <c r="E5" s="189" t="str">
        <f t="shared" si="3"/>
        <v>2022 Q2</v>
      </c>
    </row>
    <row r="6">
      <c r="A6" s="166" t="s">
        <v>787</v>
      </c>
      <c r="B6" s="166" t="s">
        <v>788</v>
      </c>
      <c r="C6" s="187">
        <f t="shared" si="1"/>
        <v>0.08789</v>
      </c>
      <c r="D6" s="188" t="str">
        <f t="shared" si="2"/>
        <v>2  mayo  2022</v>
      </c>
      <c r="E6" s="189" t="str">
        <f t="shared" si="3"/>
        <v>2022 Q1</v>
      </c>
    </row>
    <row r="7">
      <c r="A7" s="166" t="s">
        <v>789</v>
      </c>
      <c r="B7" s="166" t="s">
        <v>790</v>
      </c>
      <c r="C7" s="187">
        <f t="shared" si="1"/>
        <v>0.8858</v>
      </c>
      <c r="D7" s="188" t="str">
        <f t="shared" si="2"/>
        <v>24  enero  2022</v>
      </c>
      <c r="E7" s="189" t="str">
        <f t="shared" si="3"/>
        <v>2021 Q4</v>
      </c>
    </row>
    <row r="8">
      <c r="A8" s="166" t="s">
        <v>791</v>
      </c>
      <c r="B8" s="166" t="s">
        <v>792</v>
      </c>
      <c r="C8" s="187">
        <f t="shared" si="1"/>
        <v>0.053997</v>
      </c>
      <c r="D8" s="188" t="str">
        <f t="shared" si="2"/>
        <v>25  octubre  2021</v>
      </c>
      <c r="E8" s="189" t="str">
        <f t="shared" si="3"/>
        <v>2021 Q3</v>
      </c>
    </row>
    <row r="9">
      <c r="A9" s="166" t="s">
        <v>793</v>
      </c>
      <c r="B9" s="166" t="s">
        <v>794</v>
      </c>
      <c r="C9" s="187">
        <f t="shared" si="1"/>
        <v>0.042123</v>
      </c>
      <c r="D9" s="188" t="str">
        <f t="shared" si="2"/>
        <v>2  agosto  2021</v>
      </c>
      <c r="E9" s="189" t="str">
        <f t="shared" si="3"/>
        <v>2021 Q2</v>
      </c>
    </row>
    <row r="10">
      <c r="A10" s="166" t="s">
        <v>795</v>
      </c>
      <c r="B10" s="166" t="s">
        <v>796</v>
      </c>
      <c r="C10" s="187">
        <f t="shared" si="1"/>
        <v>1.15</v>
      </c>
      <c r="D10" s="188" t="str">
        <f t="shared" si="2"/>
        <v>5  julio  2021</v>
      </c>
      <c r="E10" s="189" t="str">
        <f t="shared" si="3"/>
        <v>2021 Q2</v>
      </c>
    </row>
    <row r="11">
      <c r="A11" s="166" t="s">
        <v>797</v>
      </c>
      <c r="B11" s="166" t="s">
        <v>798</v>
      </c>
      <c r="C11" s="187">
        <f t="shared" si="1"/>
        <v>0.025123</v>
      </c>
      <c r="D11" s="188" t="str">
        <f t="shared" si="2"/>
        <v>1  marzo  2021</v>
      </c>
      <c r="E11" s="189" t="str">
        <f t="shared" si="3"/>
        <v>2020 Q4</v>
      </c>
    </row>
    <row r="12">
      <c r="A12" s="166" t="s">
        <v>243</v>
      </c>
      <c r="B12" s="166" t="s">
        <v>799</v>
      </c>
      <c r="C12" s="187">
        <f t="shared" si="1"/>
        <v>0.043378</v>
      </c>
      <c r="D12" s="188" t="str">
        <f t="shared" si="2"/>
        <v>4  noviembre  2020</v>
      </c>
      <c r="E12" s="189" t="str">
        <f t="shared" si="3"/>
        <v>2020 Q3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>
      <c r="A1" s="143" t="s">
        <v>57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  <c r="G1" s="158" t="s">
        <v>361</v>
      </c>
    </row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>
      <c r="B9" s="143">
        <f t="array" ref="B9">IF(SUMIFS(INDIRECT("'"&amp;A$1&amp;"_DIV'!"&amp;"C:C"),INDIRECT("'"&amp;A$1&amp;"_DIV'!"&amp;"E:E"),B1)=0,"",SUMIFS(INDIRECT("'"&amp;A$1&amp;"_DIV'!"&amp;"C:C"),INDIRECT("'"&amp;A$1&amp;"_DIV'!"&amp;"E:E"),B1))</f>
        <v>0.2566</v>
      </c>
    </row>
    <row r="10" ht="13.5" customHeight="1">
      <c r="A10" s="160" t="s">
        <v>154</v>
      </c>
      <c r="B10" s="170">
        <f t="array" ref="B10">IF(SUMIFS(INDIRECT("'"&amp;A$1&amp;"_DIV'!"&amp;"C:C"),INDIRECT("'"&amp;A$1&amp;"_DIV'!"&amp;"E:E"),B1)=0,"",SUMIFS(INDIRECT("'"&amp;A$1&amp;"_DIV'!"&amp;"C:C"),INDIRECT("'"&amp;A$1&amp;"_DIV'!"&amp;"E:E"),B1))</f>
        <v>0.2566</v>
      </c>
      <c r="C10" s="170">
        <f t="array" ref="C10">IF(SUMIFS(INDIRECT("'"&amp;A$1&amp;"_DIV'!"&amp;"C:C"),INDIRECT("'"&amp;A$1&amp;"_DIV'!"&amp;"E:E"),C1)=0,"",SUMIFS(INDIRECT("'"&amp;A$1&amp;"_DIV'!"&amp;"C:C"),INDIRECT("'"&amp;A$1&amp;"_DIV'!"&amp;"E:E"),C1))</f>
        <v>0.615391</v>
      </c>
      <c r="D10" s="170">
        <f t="array" ref="D10">IF(SUMIFS(INDIRECT("'"&amp;A$1&amp;"_DIV'!"&amp;"C:C"),INDIRECT("'"&amp;A$1&amp;"_DIV'!"&amp;"E:E"),D1)=0,"",SUMIFS(INDIRECT("'"&amp;A$1&amp;"_DIV'!"&amp;"C:C"),INDIRECT("'"&amp;A$1&amp;"_DIV'!"&amp;"E:E"),D1))</f>
        <v>0.473905</v>
      </c>
      <c r="E10" s="170">
        <f t="array" ref="E10">IF(SUMIFS(INDIRECT("'"&amp;A$1&amp;"_DIV'!"&amp;"C:C"),INDIRECT("'"&amp;A$1&amp;"_DIV'!"&amp;"E:E"),E1)=0,"",SUMIFS(INDIRECT("'"&amp;A$1&amp;"_DIV'!"&amp;"C:C"),INDIRECT("'"&amp;A$1&amp;"_DIV'!"&amp;"E:E"),E1))</f>
        <v>0.71437</v>
      </c>
      <c r="F10" s="170">
        <f t="array" ref="F10">IF(SUMIFS(INDIRECT("'"&amp;A$1&amp;"_DIV'!"&amp;"C:C"),INDIRECT("'"&amp;A$1&amp;"_DIV'!"&amp;"E:E"),F1)=0,"",SUMIFS(INDIRECT("'"&amp;A$1&amp;"_DIV'!"&amp;"C:C"),INDIRECT("'"&amp;A$1&amp;"_DIV'!"&amp;"E:E"),F1))</f>
        <v>0.470165</v>
      </c>
      <c r="G10" s="170">
        <f t="array" ref="G10">IF(SUMIFS(INDIRECT("'"&amp;A$1&amp;"_DIV'!"&amp;"C:C"),INDIRECT("'"&amp;A$1&amp;"_DIV'!"&amp;"E:E"),G1)=0,"",SUMIFS(INDIRECT("'"&amp;A$1&amp;"_DIV'!"&amp;"C:C"),INDIRECT("'"&amp;A$1&amp;"_DIV'!"&amp;"E:E"),G1))</f>
        <v>0.267572</v>
      </c>
    </row>
    <row r="11" ht="13.5" customHeight="1"/>
    <row r="12" ht="13.5" customHeight="1">
      <c r="A12" s="172" t="s">
        <v>382</v>
      </c>
      <c r="B12" s="177"/>
      <c r="C12" s="177"/>
      <c r="D12" s="177"/>
      <c r="E12" s="177"/>
      <c r="F12" s="177"/>
      <c r="G12" s="177"/>
      <c r="H12" s="177"/>
      <c r="I12" s="177"/>
      <c r="J12" s="177"/>
    </row>
    <row r="13" ht="13.5" customHeight="1">
      <c r="A13" s="179" t="s">
        <v>383</v>
      </c>
      <c r="B13" s="196"/>
      <c r="C13" s="196"/>
      <c r="D13" s="196"/>
      <c r="E13" s="196"/>
      <c r="F13" s="196"/>
      <c r="G13" s="196"/>
      <c r="H13" s="196"/>
      <c r="I13" s="196"/>
      <c r="J13" s="196"/>
    </row>
    <row r="14" ht="13.5" customHeight="1">
      <c r="A14" s="179" t="s">
        <v>438</v>
      </c>
      <c r="B14" s="177"/>
      <c r="C14" s="177"/>
      <c r="D14" s="177"/>
      <c r="E14" s="177"/>
      <c r="F14" s="177"/>
      <c r="G14" s="177"/>
      <c r="H14" s="177"/>
      <c r="I14" s="177"/>
      <c r="J14" s="177"/>
    </row>
    <row r="15" ht="13.5" customHeight="1">
      <c r="A15" s="179" t="s">
        <v>439</v>
      </c>
      <c r="B15" s="173"/>
      <c r="C15" s="173"/>
      <c r="D15" s="173"/>
      <c r="E15" s="173"/>
      <c r="F15" s="173"/>
      <c r="G15" s="173"/>
      <c r="H15" s="173"/>
      <c r="I15" s="173"/>
      <c r="J15" s="173"/>
    </row>
    <row r="16" ht="13.5" customHeight="1">
      <c r="A16" s="179" t="s">
        <v>440</v>
      </c>
      <c r="B16" s="177"/>
      <c r="C16" s="177"/>
      <c r="D16" s="177"/>
      <c r="E16" s="177"/>
      <c r="F16" s="177"/>
      <c r="G16" s="177"/>
      <c r="H16" s="177"/>
      <c r="I16" s="177"/>
      <c r="J16" s="177"/>
    </row>
    <row r="17" ht="13.5" customHeight="1">
      <c r="A17" s="179" t="s">
        <v>389</v>
      </c>
      <c r="B17" s="199"/>
      <c r="C17" s="198"/>
      <c r="D17" s="199"/>
      <c r="E17" s="199"/>
      <c r="F17" s="199"/>
      <c r="G17" s="199"/>
      <c r="H17" s="199"/>
      <c r="I17" s="199"/>
      <c r="J17" s="199"/>
    </row>
    <row r="18" ht="13.5" customHeight="1">
      <c r="A18" s="179" t="s">
        <v>390</v>
      </c>
      <c r="B18" s="201"/>
      <c r="C18" s="201"/>
      <c r="D18" s="201"/>
      <c r="E18" s="201"/>
      <c r="F18" s="201"/>
      <c r="G18" s="201"/>
      <c r="H18" s="201"/>
      <c r="I18" s="201"/>
      <c r="J18" s="201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29"/>
    <col customWidth="1" min="6" max="6" width="26.86"/>
  </cols>
  <sheetData>
    <row r="1">
      <c r="A1" s="213" t="s">
        <v>800</v>
      </c>
      <c r="B1" s="213" t="s">
        <v>801</v>
      </c>
    </row>
    <row r="2">
      <c r="A2" s="214">
        <v>45064.0</v>
      </c>
      <c r="B2" s="103" t="s">
        <v>802</v>
      </c>
      <c r="C2" s="187">
        <f t="shared" ref="C2:C15" si="1">VALUE(SUBSTITUTE(SUBSTITUTE(B2,"Dividend",""),"",""))</f>
        <v>0.2566</v>
      </c>
      <c r="D2" s="188" t="str">
        <f t="shared" ref="D2:D15" si="2">SUBSTITUTE(SUBSTITUTE(A2,"Aug","Ago"),"","")</f>
        <v>may 18, 2023</v>
      </c>
      <c r="E2" s="189" t="str">
        <f t="shared" ref="E2:E15" si="3">IF(IF(ROUNDUP(MONTH(D2)/3,0)-1=0,4,ROUNDUP(MONTH(D2)/3,0)-1)=4,YEAR(D2)-1,YEAR(D2)) &amp; " Q" &amp; IF(ROUNDUP(MONTH(D2)/3,0)-1=0,4,ROUNDUP(MONTH(D2)/3,0)-1)</f>
        <v>2023 Q1</v>
      </c>
      <c r="F2" s="212" t="s">
        <v>803</v>
      </c>
      <c r="G2" s="215"/>
    </row>
    <row r="3">
      <c r="A3" s="216">
        <v>44999.0</v>
      </c>
      <c r="B3" s="215" t="s">
        <v>804</v>
      </c>
      <c r="C3" s="187">
        <f t="shared" si="1"/>
        <v>0.615391</v>
      </c>
      <c r="D3" s="188" t="str">
        <f t="shared" si="2"/>
        <v>mar 14, 2023</v>
      </c>
      <c r="E3" s="189" t="str">
        <f t="shared" si="3"/>
        <v>2022 Q4</v>
      </c>
      <c r="F3" s="212" t="s">
        <v>803</v>
      </c>
      <c r="G3" s="215"/>
    </row>
    <row r="4">
      <c r="A4" s="216">
        <v>44880.0</v>
      </c>
      <c r="B4" s="215" t="s">
        <v>805</v>
      </c>
      <c r="C4" s="187">
        <f t="shared" si="1"/>
        <v>0.473905</v>
      </c>
      <c r="D4" s="188" t="str">
        <f t="shared" si="2"/>
        <v>nov 15, 2022</v>
      </c>
      <c r="E4" s="189" t="str">
        <f t="shared" si="3"/>
        <v>2022 Q3</v>
      </c>
      <c r="F4" s="212" t="s">
        <v>803</v>
      </c>
      <c r="G4" s="215"/>
    </row>
    <row r="5">
      <c r="A5" s="215" t="s">
        <v>806</v>
      </c>
      <c r="B5" s="215" t="s">
        <v>807</v>
      </c>
      <c r="C5" s="187">
        <f t="shared" si="1"/>
        <v>0.71437</v>
      </c>
      <c r="D5" s="188" t="str">
        <f t="shared" si="2"/>
        <v>Ago 16, 2022</v>
      </c>
      <c r="E5" s="189" t="str">
        <f t="shared" si="3"/>
        <v>2022 Q2</v>
      </c>
      <c r="F5" s="212" t="s">
        <v>803</v>
      </c>
      <c r="G5" s="215"/>
    </row>
    <row r="6">
      <c r="A6" s="216">
        <v>44698.0</v>
      </c>
      <c r="B6" s="215" t="s">
        <v>808</v>
      </c>
      <c r="C6" s="187">
        <f t="shared" si="1"/>
        <v>0.470165</v>
      </c>
      <c r="D6" s="188" t="str">
        <f t="shared" si="2"/>
        <v>may 17, 2022</v>
      </c>
      <c r="E6" s="189" t="str">
        <f t="shared" si="3"/>
        <v>2022 Q1</v>
      </c>
      <c r="F6" s="212" t="s">
        <v>803</v>
      </c>
      <c r="G6" s="215"/>
    </row>
    <row r="7">
      <c r="A7" s="216">
        <v>44635.0</v>
      </c>
      <c r="B7" s="215" t="s">
        <v>809</v>
      </c>
      <c r="C7" s="187">
        <f t="shared" si="1"/>
        <v>0.267572</v>
      </c>
      <c r="D7" s="188" t="str">
        <f t="shared" si="2"/>
        <v>mar 15, 2022</v>
      </c>
      <c r="E7" s="189" t="str">
        <f t="shared" si="3"/>
        <v>2021 Q4</v>
      </c>
      <c r="F7" s="212" t="s">
        <v>803</v>
      </c>
      <c r="G7" s="215"/>
    </row>
    <row r="8">
      <c r="A8" s="216">
        <v>44516.0</v>
      </c>
      <c r="B8" s="215" t="s">
        <v>810</v>
      </c>
      <c r="C8" s="187">
        <f t="shared" si="1"/>
        <v>0.530706</v>
      </c>
      <c r="D8" s="188" t="str">
        <f t="shared" si="2"/>
        <v>nov 16, 2021</v>
      </c>
      <c r="E8" s="189" t="str">
        <f t="shared" si="3"/>
        <v>2021 Q3</v>
      </c>
      <c r="F8" s="212" t="s">
        <v>803</v>
      </c>
      <c r="G8" s="215"/>
    </row>
    <row r="9">
      <c r="A9" s="215" t="s">
        <v>811</v>
      </c>
      <c r="B9" s="215" t="s">
        <v>812</v>
      </c>
      <c r="C9" s="187">
        <f t="shared" si="1"/>
        <v>0.631063</v>
      </c>
      <c r="D9" s="188" t="str">
        <f t="shared" si="2"/>
        <v>Ago 17, 2021</v>
      </c>
      <c r="E9" s="189" t="str">
        <f t="shared" si="3"/>
        <v>2021 Q2</v>
      </c>
      <c r="F9" s="212" t="s">
        <v>803</v>
      </c>
      <c r="G9" s="215"/>
    </row>
    <row r="10">
      <c r="A10" s="216">
        <v>44341.0</v>
      </c>
      <c r="B10" s="215" t="s">
        <v>813</v>
      </c>
      <c r="C10" s="187">
        <f t="shared" si="1"/>
        <v>0.406027</v>
      </c>
      <c r="D10" s="188" t="str">
        <f t="shared" si="2"/>
        <v>may 25, 2021</v>
      </c>
      <c r="E10" s="189" t="str">
        <f t="shared" si="3"/>
        <v>2021 Q1</v>
      </c>
      <c r="F10" s="212" t="s">
        <v>803</v>
      </c>
      <c r="G10" s="215"/>
    </row>
    <row r="11">
      <c r="A11" s="216">
        <v>44152.0</v>
      </c>
      <c r="B11" s="215" t="s">
        <v>814</v>
      </c>
      <c r="C11" s="187">
        <f t="shared" si="1"/>
        <v>0.342531</v>
      </c>
      <c r="D11" s="188" t="str">
        <f t="shared" si="2"/>
        <v>nov 17, 2020</v>
      </c>
      <c r="E11" s="189" t="str">
        <f t="shared" si="3"/>
        <v>2020 Q3</v>
      </c>
      <c r="F11" s="212" t="s">
        <v>803</v>
      </c>
      <c r="G11" s="215"/>
    </row>
    <row r="12">
      <c r="A12" s="215" t="s">
        <v>815</v>
      </c>
      <c r="B12" s="215" t="s">
        <v>816</v>
      </c>
      <c r="C12" s="187">
        <f t="shared" si="1"/>
        <v>0.387634</v>
      </c>
      <c r="D12" s="188" t="str">
        <f t="shared" si="2"/>
        <v>Ago 18, 2020</v>
      </c>
      <c r="E12" s="189" t="str">
        <f t="shared" si="3"/>
        <v>2020 Q2</v>
      </c>
      <c r="F12" s="212" t="s">
        <v>803</v>
      </c>
      <c r="G12" s="215"/>
    </row>
    <row r="13">
      <c r="A13" s="216">
        <v>43970.0</v>
      </c>
      <c r="B13" s="215" t="s">
        <v>817</v>
      </c>
      <c r="C13" s="187">
        <f t="shared" si="1"/>
        <v>0.45942</v>
      </c>
      <c r="D13" s="188" t="str">
        <f t="shared" si="2"/>
        <v>may 19, 2020</v>
      </c>
      <c r="E13" s="189" t="str">
        <f t="shared" si="3"/>
        <v>2020 Q1</v>
      </c>
      <c r="F13" s="212" t="s">
        <v>803</v>
      </c>
      <c r="G13" s="215"/>
    </row>
    <row r="14">
      <c r="A14" s="216">
        <v>43909.0</v>
      </c>
      <c r="B14" s="215" t="s">
        <v>818</v>
      </c>
      <c r="C14" s="187">
        <f t="shared" si="1"/>
        <v>0.107001</v>
      </c>
      <c r="D14" s="188" t="str">
        <f t="shared" si="2"/>
        <v>mar 19, 2020</v>
      </c>
      <c r="E14" s="189" t="str">
        <f t="shared" si="3"/>
        <v>2019 Q4</v>
      </c>
      <c r="F14" s="212" t="s">
        <v>803</v>
      </c>
      <c r="G14" s="215"/>
    </row>
    <row r="15">
      <c r="A15" s="216">
        <v>43788.0</v>
      </c>
      <c r="B15" s="215" t="s">
        <v>819</v>
      </c>
      <c r="C15" s="187">
        <f t="shared" si="1"/>
        <v>0.126952</v>
      </c>
      <c r="D15" s="188" t="str">
        <f t="shared" si="2"/>
        <v>nov 19, 2019</v>
      </c>
      <c r="E15" s="189" t="str">
        <f t="shared" si="3"/>
        <v>2019 Q3</v>
      </c>
      <c r="F15" s="212" t="s">
        <v>803</v>
      </c>
      <c r="G15" s="215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>
      <c r="A1" s="143" t="s">
        <v>69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</row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>
      <c r="A10" s="160" t="s">
        <v>154</v>
      </c>
      <c r="B10" s="194" t="str">
        <f t="array" ref="B10">IF(SUMIFS(INDIRECT("'"&amp;A$1&amp;"_DIV'!"&amp;"C:C"),INDIRECT("'"&amp;A$1&amp;"_DIV'!"&amp;"E:E"),B1)=0,"",SUMIFS(INDIRECT("'"&amp;A$1&amp;"_DIV'!"&amp;"C:C"),INDIRECT("'"&amp;A$1&amp;"_DIV'!"&amp;"E:E"),B1)=0)</f>
        <v/>
      </c>
      <c r="C10" s="194">
        <f t="array" ref="C10">SUMIFS(INDIRECT("'"&amp;A$1&amp;"_DIV'!"&amp;"C:C"),INDIRECT("'"&amp;A$1&amp;"_DIV'!"&amp;"E:E"),C1)</f>
        <v>0.480904</v>
      </c>
      <c r="D10" s="194">
        <f t="array" ref="D10">SUMIFS(INDIRECT("'"&amp;A$1&amp;"_DIV'!"&amp;"C:C"),INDIRECT("'"&amp;A$1&amp;"_DIV'!"&amp;"E:E"),D1)</f>
        <v>0.672862</v>
      </c>
      <c r="E10" s="194">
        <f t="array" ref="E10">SUMIFS(INDIRECT("'"&amp;A$1&amp;"_DIV'!"&amp;"C:C"),INDIRECT("'"&amp;A$1&amp;"_DIV'!"&amp;"E:E"),E1)</f>
        <v>0.44175</v>
      </c>
      <c r="F10" s="194">
        <f t="array" ref="F10">SUMIFS(INDIRECT("'"&amp;A$1&amp;"_DIV'!"&amp;"C:C"),INDIRECT("'"&amp;A$1&amp;"_DIV'!"&amp;"E:E"),F1)</f>
        <v>0.289294</v>
      </c>
      <c r="G10" s="170"/>
      <c r="H10" s="92"/>
      <c r="I10" s="92"/>
      <c r="J10" s="92"/>
    </row>
    <row r="11" ht="13.5" customHeight="1"/>
    <row r="12" ht="13.5" customHeight="1">
      <c r="A12" s="172" t="s">
        <v>382</v>
      </c>
      <c r="B12" s="177"/>
      <c r="C12" s="177"/>
      <c r="D12" s="177"/>
      <c r="E12" s="177"/>
      <c r="F12" s="177"/>
      <c r="G12" s="177"/>
      <c r="H12" s="177"/>
      <c r="I12" s="177"/>
      <c r="J12" s="177"/>
    </row>
    <row r="13" ht="13.5" customHeight="1">
      <c r="A13" s="179" t="s">
        <v>383</v>
      </c>
      <c r="B13" s="196"/>
      <c r="C13" s="196"/>
      <c r="D13" s="196"/>
      <c r="E13" s="196"/>
      <c r="F13" s="196"/>
      <c r="G13" s="196"/>
      <c r="H13" s="196"/>
      <c r="I13" s="196"/>
      <c r="J13" s="196"/>
    </row>
    <row r="14" ht="13.5" customHeight="1">
      <c r="A14" s="179" t="s">
        <v>438</v>
      </c>
      <c r="B14" s="177"/>
      <c r="C14" s="177"/>
      <c r="D14" s="177"/>
      <c r="E14" s="177"/>
      <c r="F14" s="177"/>
      <c r="G14" s="177"/>
      <c r="H14" s="177"/>
      <c r="I14" s="177"/>
      <c r="J14" s="177"/>
    </row>
    <row r="15" ht="13.5" customHeight="1">
      <c r="A15" s="179" t="s">
        <v>439</v>
      </c>
      <c r="B15" s="173"/>
      <c r="C15" s="173"/>
      <c r="D15" s="173"/>
      <c r="E15" s="173"/>
      <c r="F15" s="173"/>
      <c r="G15" s="173"/>
      <c r="H15" s="173"/>
      <c r="I15" s="173"/>
      <c r="J15" s="173"/>
    </row>
    <row r="16" ht="13.5" customHeight="1">
      <c r="A16" s="179" t="s">
        <v>440</v>
      </c>
      <c r="B16" s="177"/>
      <c r="C16" s="177"/>
      <c r="D16" s="177"/>
      <c r="E16" s="177"/>
      <c r="F16" s="177"/>
      <c r="G16" s="177"/>
      <c r="H16" s="177"/>
      <c r="I16" s="177"/>
      <c r="J16" s="177"/>
    </row>
    <row r="17" ht="13.5" customHeight="1">
      <c r="A17" s="179" t="s">
        <v>389</v>
      </c>
      <c r="B17" s="199"/>
      <c r="C17" s="199"/>
      <c r="D17" s="199"/>
      <c r="E17" s="199"/>
      <c r="F17" s="199"/>
      <c r="G17" s="199"/>
      <c r="H17" s="199"/>
      <c r="I17" s="199"/>
      <c r="J17" s="199"/>
    </row>
    <row r="18" ht="13.5" customHeight="1">
      <c r="A18" s="179" t="s">
        <v>390</v>
      </c>
      <c r="B18" s="201"/>
      <c r="C18" s="201"/>
      <c r="D18" s="201"/>
      <c r="E18" s="201"/>
      <c r="F18" s="201"/>
      <c r="G18" s="201"/>
      <c r="H18" s="201"/>
      <c r="I18" s="201"/>
      <c r="J18" s="201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86"/>
    <col customWidth="1" min="3" max="3" width="10.14"/>
    <col customWidth="1" min="4" max="4" width="13.57"/>
    <col customWidth="1" min="5" max="26" width="10.71"/>
  </cols>
  <sheetData>
    <row r="1" ht="13.5" customHeight="1">
      <c r="A1" s="166" t="s">
        <v>129</v>
      </c>
      <c r="B1" s="217" t="s">
        <v>155</v>
      </c>
      <c r="C1" s="218"/>
      <c r="D1" s="218"/>
      <c r="E1" s="218"/>
      <c r="F1" s="218"/>
    </row>
    <row r="2" ht="13.5" customHeight="1">
      <c r="A2" s="166" t="s">
        <v>164</v>
      </c>
      <c r="B2" s="166" t="s">
        <v>820</v>
      </c>
      <c r="C2" s="187">
        <f t="shared" ref="C2:C20" si="1">VALUE(SUBSTITUTE(SUBSTITUTE(B2,"MXN $",""),"",""))</f>
        <v>0.480904</v>
      </c>
      <c r="D2" s="188" t="str">
        <f t="shared" ref="D2:D20" si="2">SUBSTITUTE(SUBSTITUTE(A2,"de",""),"","")</f>
        <v>3  marzo  2023</v>
      </c>
      <c r="E2" s="189" t="str">
        <f t="shared" ref="E2:E20" si="3">IF(IF(ROUNDUP(MONTH(D2)/3,0)-1=0,4,ROUNDUP(MONTH(D2)/3,0)-1)=4,YEAR(D2)-1,YEAR(D2)) &amp; " Q" &amp; IF(ROUNDUP(MONTH(D2)/3,0)-1=0,4,ROUNDUP(MONTH(D2)/3,0)-1)</f>
        <v>2022 Q4</v>
      </c>
    </row>
    <row r="3" ht="13.5" customHeight="1">
      <c r="A3" s="166" t="s">
        <v>821</v>
      </c>
      <c r="B3" s="166" t="s">
        <v>822</v>
      </c>
      <c r="C3" s="187">
        <f t="shared" si="1"/>
        <v>0.162425</v>
      </c>
      <c r="D3" s="188" t="str">
        <f t="shared" si="2"/>
        <v>23  diciembre  2022</v>
      </c>
      <c r="E3" s="189" t="str">
        <f t="shared" si="3"/>
        <v>2022 Q3</v>
      </c>
    </row>
    <row r="4" ht="13.5" customHeight="1">
      <c r="A4" s="166" t="s">
        <v>823</v>
      </c>
      <c r="B4" s="166" t="s">
        <v>824</v>
      </c>
      <c r="C4" s="187">
        <f t="shared" si="1"/>
        <v>0.510437</v>
      </c>
      <c r="D4" s="188" t="str">
        <f t="shared" si="2"/>
        <v>2  diciembre  2022</v>
      </c>
      <c r="E4" s="189" t="str">
        <f t="shared" si="3"/>
        <v>2022 Q3</v>
      </c>
    </row>
    <row r="5" ht="13.5" customHeight="1">
      <c r="A5" s="166" t="s">
        <v>825</v>
      </c>
      <c r="B5" s="166" t="s">
        <v>826</v>
      </c>
      <c r="C5" s="187">
        <f t="shared" si="1"/>
        <v>0.44175</v>
      </c>
      <c r="D5" s="188" t="str">
        <f t="shared" si="2"/>
        <v>29  agosto  2022</v>
      </c>
      <c r="E5" s="189" t="str">
        <f t="shared" si="3"/>
        <v>2022 Q2</v>
      </c>
    </row>
    <row r="6" ht="13.5" customHeight="1">
      <c r="A6" s="166" t="s">
        <v>827</v>
      </c>
      <c r="B6" s="166" t="s">
        <v>828</v>
      </c>
      <c r="C6" s="187">
        <f t="shared" si="1"/>
        <v>0.289294</v>
      </c>
      <c r="D6" s="188" t="str">
        <f t="shared" si="2"/>
        <v>30  mayo  2022</v>
      </c>
      <c r="E6" s="189" t="str">
        <f t="shared" si="3"/>
        <v>2022 Q1</v>
      </c>
    </row>
    <row r="7" ht="13.5" customHeight="1">
      <c r="A7" s="166" t="s">
        <v>829</v>
      </c>
      <c r="B7" s="166" t="s">
        <v>830</v>
      </c>
      <c r="C7" s="187">
        <f t="shared" si="1"/>
        <v>0.360548</v>
      </c>
      <c r="D7" s="188" t="str">
        <f t="shared" si="2"/>
        <v>30  diciembre  2020</v>
      </c>
      <c r="E7" s="189" t="str">
        <f t="shared" si="3"/>
        <v>2020 Q3</v>
      </c>
    </row>
    <row r="8" ht="13.5" customHeight="1">
      <c r="A8" s="166" t="s">
        <v>831</v>
      </c>
      <c r="B8" s="166" t="s">
        <v>832</v>
      </c>
      <c r="C8" s="187">
        <f t="shared" si="1"/>
        <v>0.227988</v>
      </c>
      <c r="D8" s="188" t="str">
        <f t="shared" si="2"/>
        <v>26  noviembre  2020</v>
      </c>
      <c r="E8" s="189" t="str">
        <f t="shared" si="3"/>
        <v>2020 Q3</v>
      </c>
    </row>
    <row r="9" ht="13.5" customHeight="1">
      <c r="A9" s="166" t="s">
        <v>833</v>
      </c>
      <c r="B9" s="166" t="s">
        <v>834</v>
      </c>
      <c r="C9" s="187">
        <f t="shared" si="1"/>
        <v>0.343304</v>
      </c>
      <c r="D9" s="188" t="str">
        <f t="shared" si="2"/>
        <v>17  septiembre  2020</v>
      </c>
      <c r="E9" s="189" t="str">
        <f t="shared" si="3"/>
        <v>2020 Q2</v>
      </c>
    </row>
    <row r="10" ht="13.5" customHeight="1">
      <c r="A10" s="217" t="s">
        <v>263</v>
      </c>
      <c r="B10" s="219" t="s">
        <v>835</v>
      </c>
      <c r="C10" s="187">
        <f t="shared" si="1"/>
        <v>0.013687</v>
      </c>
      <c r="D10" s="188" t="str">
        <f t="shared" si="2"/>
        <v>13  marzo  2020</v>
      </c>
      <c r="E10" s="189" t="str">
        <f t="shared" si="3"/>
        <v>2019 Q4</v>
      </c>
      <c r="F10" s="92"/>
      <c r="G10" s="92"/>
      <c r="H10" s="92"/>
      <c r="I10" s="92"/>
      <c r="J10" s="92"/>
    </row>
    <row r="11" ht="13.5" customHeight="1">
      <c r="A11" s="166" t="s">
        <v>263</v>
      </c>
      <c r="B11" s="166" t="s">
        <v>836</v>
      </c>
      <c r="C11" s="187">
        <f t="shared" si="1"/>
        <v>0.427045</v>
      </c>
      <c r="D11" s="188" t="str">
        <f t="shared" si="2"/>
        <v>13  marzo  2020</v>
      </c>
      <c r="E11" s="189" t="str">
        <f t="shared" si="3"/>
        <v>2019 Q4</v>
      </c>
    </row>
    <row r="12" ht="13.5" customHeight="1">
      <c r="A12" s="217" t="s">
        <v>837</v>
      </c>
      <c r="B12" s="220" t="s">
        <v>838</v>
      </c>
      <c r="C12" s="187">
        <f t="shared" si="1"/>
        <v>0.27706</v>
      </c>
      <c r="D12" s="188" t="str">
        <f t="shared" si="2"/>
        <v>24  diciembre  2019</v>
      </c>
      <c r="E12" s="189" t="str">
        <f t="shared" si="3"/>
        <v>2019 Q3</v>
      </c>
      <c r="F12" s="221"/>
      <c r="G12" s="221"/>
      <c r="H12" s="221"/>
      <c r="I12" s="221"/>
      <c r="J12" s="221"/>
    </row>
    <row r="13" ht="13.5" customHeight="1">
      <c r="A13" s="217" t="s">
        <v>839</v>
      </c>
      <c r="B13" s="217" t="s">
        <v>840</v>
      </c>
      <c r="C13" s="187">
        <f t="shared" si="1"/>
        <v>0.303431</v>
      </c>
      <c r="D13" s="188" t="str">
        <f t="shared" si="2"/>
        <v>30  agosto  2019</v>
      </c>
      <c r="E13" s="189" t="str">
        <f t="shared" si="3"/>
        <v>2019 Q2</v>
      </c>
      <c r="F13" s="218"/>
      <c r="G13" s="218"/>
      <c r="H13" s="218"/>
      <c r="I13" s="218"/>
      <c r="J13" s="218"/>
    </row>
    <row r="14" ht="13.5" customHeight="1">
      <c r="A14" s="217" t="s">
        <v>841</v>
      </c>
      <c r="B14" s="220" t="s">
        <v>842</v>
      </c>
      <c r="C14" s="187">
        <f t="shared" si="1"/>
        <v>0.312706</v>
      </c>
      <c r="D14" s="188" t="str">
        <f t="shared" si="2"/>
        <v>20  junio  2019</v>
      </c>
      <c r="E14" s="189" t="str">
        <f t="shared" si="3"/>
        <v>2019 Q1</v>
      </c>
      <c r="F14" s="221"/>
      <c r="G14" s="221"/>
      <c r="H14" s="221"/>
      <c r="I14" s="221"/>
      <c r="J14" s="221"/>
    </row>
    <row r="15" ht="13.5" customHeight="1">
      <c r="A15" s="217" t="s">
        <v>306</v>
      </c>
      <c r="B15" s="220" t="s">
        <v>843</v>
      </c>
      <c r="C15" s="187">
        <f t="shared" si="1"/>
        <v>0.0033</v>
      </c>
      <c r="D15" s="188" t="str">
        <f t="shared" si="2"/>
        <v>15  marzo  2019</v>
      </c>
      <c r="E15" s="189" t="str">
        <f t="shared" si="3"/>
        <v>2018 Q4</v>
      </c>
      <c r="F15" s="221"/>
      <c r="G15" s="221"/>
      <c r="H15" s="221"/>
      <c r="I15" s="221"/>
      <c r="J15" s="221"/>
    </row>
    <row r="16" ht="13.5" customHeight="1">
      <c r="A16" s="217" t="s">
        <v>306</v>
      </c>
      <c r="B16" s="220" t="s">
        <v>844</v>
      </c>
      <c r="C16" s="187">
        <f t="shared" si="1"/>
        <v>0.438927</v>
      </c>
      <c r="D16" s="188" t="str">
        <f t="shared" si="2"/>
        <v>15  marzo  2019</v>
      </c>
      <c r="E16" s="189" t="str">
        <f t="shared" si="3"/>
        <v>2018 Q4</v>
      </c>
      <c r="F16" s="221"/>
      <c r="G16" s="221"/>
      <c r="H16" s="221"/>
      <c r="I16" s="221"/>
      <c r="J16" s="221"/>
    </row>
    <row r="17" ht="13.5" customHeight="1">
      <c r="A17" s="217" t="s">
        <v>845</v>
      </c>
      <c r="B17" s="222" t="s">
        <v>846</v>
      </c>
      <c r="C17" s="187">
        <f t="shared" si="1"/>
        <v>0.476228</v>
      </c>
      <c r="D17" s="188" t="str">
        <f t="shared" si="2"/>
        <v>5  diciembre  2018</v>
      </c>
      <c r="E17" s="189" t="str">
        <f t="shared" si="3"/>
        <v>2018 Q3</v>
      </c>
      <c r="F17" s="223"/>
      <c r="G17" s="223"/>
      <c r="H17" s="223"/>
      <c r="I17" s="223"/>
      <c r="J17" s="223"/>
    </row>
    <row r="18" ht="13.5" customHeight="1">
      <c r="A18" s="217" t="s">
        <v>847</v>
      </c>
      <c r="B18" s="220" t="s">
        <v>848</v>
      </c>
      <c r="C18" s="187">
        <f t="shared" si="1"/>
        <v>0.438353</v>
      </c>
      <c r="D18" s="188" t="str">
        <f t="shared" si="2"/>
        <v>17  agosto  2018</v>
      </c>
      <c r="E18" s="189" t="str">
        <f t="shared" si="3"/>
        <v>2018 Q2</v>
      </c>
      <c r="F18" s="221"/>
      <c r="G18" s="221"/>
      <c r="H18" s="221"/>
      <c r="I18" s="221"/>
      <c r="J18" s="221"/>
    </row>
    <row r="19" ht="13.5" customHeight="1">
      <c r="A19" s="166" t="s">
        <v>849</v>
      </c>
      <c r="B19" s="166" t="s">
        <v>850</v>
      </c>
      <c r="C19" s="187">
        <f t="shared" si="1"/>
        <v>0.422996</v>
      </c>
      <c r="D19" s="188" t="str">
        <f t="shared" si="2"/>
        <v>1  junio  2018</v>
      </c>
      <c r="E19" s="189" t="str">
        <f t="shared" si="3"/>
        <v>2018 Q1</v>
      </c>
    </row>
    <row r="20" ht="13.5" customHeight="1">
      <c r="A20" s="166" t="s">
        <v>353</v>
      </c>
      <c r="B20" s="166" t="s">
        <v>851</v>
      </c>
      <c r="C20" s="187">
        <f t="shared" si="1"/>
        <v>0.210061</v>
      </c>
      <c r="D20" s="188" t="str">
        <f t="shared" si="2"/>
        <v>15  marzo  2018</v>
      </c>
      <c r="E20" s="189" t="str">
        <f t="shared" si="3"/>
        <v>2017 Q4</v>
      </c>
    </row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>
      <c r="A1" s="103" t="s">
        <v>91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</row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>
      <c r="A10" s="160" t="s">
        <v>154</v>
      </c>
      <c r="B10" s="194"/>
      <c r="C10" s="170">
        <v>1.4136</v>
      </c>
      <c r="D10" s="194">
        <v>0.53</v>
      </c>
      <c r="E10" s="194">
        <v>1.32</v>
      </c>
      <c r="F10" s="194">
        <v>2.24</v>
      </c>
    </row>
    <row r="11" ht="13.5" customHeight="1"/>
    <row r="12" ht="13.5" customHeight="1">
      <c r="A12" s="172" t="s">
        <v>382</v>
      </c>
      <c r="B12" s="177"/>
      <c r="G12" s="177"/>
      <c r="H12" s="177"/>
      <c r="I12" s="177"/>
      <c r="J12" s="177"/>
    </row>
    <row r="13" ht="13.5" customHeight="1">
      <c r="A13" s="179" t="s">
        <v>383</v>
      </c>
      <c r="B13" s="196"/>
      <c r="C13" s="196"/>
      <c r="D13" s="196"/>
      <c r="E13" s="196"/>
      <c r="F13" s="196"/>
      <c r="G13" s="196"/>
      <c r="H13" s="196"/>
      <c r="I13" s="196"/>
      <c r="J13" s="196"/>
    </row>
    <row r="14" ht="13.5" customHeight="1">
      <c r="A14" s="179" t="s">
        <v>438</v>
      </c>
      <c r="B14" s="177"/>
      <c r="C14" s="177"/>
      <c r="D14" s="177"/>
      <c r="E14" s="177"/>
      <c r="F14" s="177"/>
      <c r="G14" s="177"/>
      <c r="H14" s="177"/>
      <c r="I14" s="177"/>
      <c r="J14" s="177"/>
    </row>
    <row r="15" ht="13.5" customHeight="1">
      <c r="A15" s="179" t="s">
        <v>439</v>
      </c>
      <c r="B15" s="173"/>
      <c r="C15" s="173"/>
      <c r="D15" s="173"/>
      <c r="E15" s="173"/>
      <c r="F15" s="173"/>
      <c r="G15" s="173"/>
      <c r="H15" s="173"/>
      <c r="I15" s="173"/>
      <c r="J15" s="173"/>
    </row>
    <row r="16" ht="13.5" customHeight="1">
      <c r="A16" s="179" t="s">
        <v>440</v>
      </c>
      <c r="B16" s="177"/>
      <c r="C16" s="177"/>
      <c r="D16" s="177"/>
      <c r="E16" s="177"/>
      <c r="F16" s="177"/>
      <c r="G16" s="177"/>
      <c r="H16" s="177"/>
      <c r="I16" s="177"/>
      <c r="J16" s="177"/>
    </row>
    <row r="17" ht="13.5" customHeight="1">
      <c r="A17" s="179" t="s">
        <v>389</v>
      </c>
      <c r="B17" s="199"/>
      <c r="C17" s="199"/>
      <c r="D17" s="199"/>
      <c r="E17" s="199"/>
      <c r="F17" s="199"/>
      <c r="G17" s="199"/>
      <c r="H17" s="199"/>
      <c r="I17" s="199"/>
      <c r="J17" s="199"/>
    </row>
    <row r="18" ht="13.5" customHeight="1">
      <c r="A18" s="179" t="s">
        <v>390</v>
      </c>
      <c r="B18" s="201"/>
      <c r="C18" s="201"/>
      <c r="D18" s="201"/>
      <c r="E18" s="201"/>
      <c r="F18" s="201"/>
      <c r="G18" s="201"/>
      <c r="H18" s="201"/>
      <c r="I18" s="201"/>
      <c r="J18" s="201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>
      <c r="A1" s="143" t="s">
        <v>93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</row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>
      <c r="A10" s="160" t="s">
        <v>154</v>
      </c>
      <c r="B10" s="194"/>
      <c r="C10" s="170">
        <v>0.1246</v>
      </c>
      <c r="D10" s="194">
        <v>0.57</v>
      </c>
      <c r="E10" s="194">
        <v>0.0</v>
      </c>
      <c r="F10" s="194">
        <v>0.0</v>
      </c>
    </row>
    <row r="11" ht="13.5" customHeight="1"/>
    <row r="12" ht="13.5" customHeight="1">
      <c r="A12" s="172" t="s">
        <v>382</v>
      </c>
      <c r="B12" s="177"/>
      <c r="C12" s="177"/>
      <c r="D12" s="177"/>
      <c r="E12" s="177"/>
      <c r="F12" s="177"/>
      <c r="G12" s="177"/>
      <c r="H12" s="177"/>
      <c r="I12" s="177"/>
      <c r="J12" s="177"/>
    </row>
    <row r="13" ht="13.5" customHeight="1">
      <c r="A13" s="179" t="s">
        <v>383</v>
      </c>
      <c r="B13" s="196"/>
      <c r="C13" s="196"/>
      <c r="D13" s="196"/>
      <c r="E13" s="196"/>
      <c r="F13" s="196"/>
      <c r="G13" s="196"/>
      <c r="H13" s="196"/>
      <c r="I13" s="196"/>
      <c r="J13" s="196"/>
    </row>
    <row r="14" ht="13.5" customHeight="1">
      <c r="A14" s="179" t="s">
        <v>438</v>
      </c>
      <c r="B14" s="177"/>
      <c r="C14" s="177"/>
      <c r="D14" s="177"/>
      <c r="E14" s="177"/>
      <c r="F14" s="177"/>
      <c r="G14" s="177"/>
      <c r="H14" s="177"/>
      <c r="I14" s="177"/>
      <c r="J14" s="177"/>
    </row>
    <row r="15" ht="13.5" customHeight="1">
      <c r="A15" s="179" t="s">
        <v>439</v>
      </c>
      <c r="B15" s="173"/>
      <c r="C15" s="173"/>
      <c r="D15" s="173"/>
      <c r="E15" s="173"/>
      <c r="F15" s="173"/>
      <c r="G15" s="173"/>
      <c r="H15" s="173"/>
      <c r="I15" s="173"/>
      <c r="J15" s="173"/>
    </row>
    <row r="16" ht="13.5" customHeight="1">
      <c r="A16" s="179" t="s">
        <v>440</v>
      </c>
      <c r="B16" s="177"/>
      <c r="C16" s="177"/>
      <c r="D16" s="177"/>
      <c r="E16" s="177"/>
      <c r="F16" s="177"/>
      <c r="G16" s="177"/>
      <c r="H16" s="177"/>
      <c r="I16" s="177"/>
      <c r="J16" s="177"/>
    </row>
    <row r="17" ht="13.5" customHeight="1">
      <c r="A17" s="179" t="s">
        <v>389</v>
      </c>
      <c r="B17" s="199"/>
      <c r="C17" s="199"/>
      <c r="D17" s="199"/>
      <c r="E17" s="199"/>
      <c r="F17" s="199"/>
      <c r="G17" s="199"/>
      <c r="H17" s="199"/>
      <c r="I17" s="199"/>
      <c r="J17" s="199"/>
    </row>
    <row r="18" ht="13.5" customHeight="1">
      <c r="A18" s="179" t="s">
        <v>390</v>
      </c>
      <c r="B18" s="201"/>
      <c r="C18" s="201"/>
      <c r="D18" s="201"/>
      <c r="E18" s="201"/>
      <c r="F18" s="201"/>
      <c r="G18" s="201"/>
      <c r="H18" s="201"/>
      <c r="I18" s="201"/>
      <c r="J18" s="201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6" t="s">
        <v>95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</row>
    <row r="10">
      <c r="A10" s="160" t="s">
        <v>154</v>
      </c>
      <c r="B10" s="194">
        <f>1.8995/4</f>
        <v>0.474875</v>
      </c>
      <c r="C10" s="194">
        <v>0.0</v>
      </c>
      <c r="D10" s="194">
        <v>0.0</v>
      </c>
      <c r="E10" s="194">
        <v>0.0</v>
      </c>
      <c r="F10" s="194">
        <v>0.0</v>
      </c>
    </row>
    <row r="12">
      <c r="A12" s="172" t="s">
        <v>382</v>
      </c>
    </row>
    <row r="13">
      <c r="A13" s="179" t="s">
        <v>383</v>
      </c>
    </row>
    <row r="14">
      <c r="A14" s="179" t="s">
        <v>438</v>
      </c>
    </row>
    <row r="15">
      <c r="A15" s="179" t="s">
        <v>439</v>
      </c>
    </row>
    <row r="16">
      <c r="A16" s="179" t="s">
        <v>440</v>
      </c>
    </row>
    <row r="17">
      <c r="A17" s="179" t="s">
        <v>389</v>
      </c>
    </row>
    <row r="18">
      <c r="A18" s="179" t="s">
        <v>390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3" t="s">
        <v>98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</row>
    <row r="10">
      <c r="A10" s="160" t="s">
        <v>154</v>
      </c>
      <c r="B10" s="194"/>
      <c r="C10" s="194"/>
      <c r="D10" s="194"/>
      <c r="E10" s="194"/>
      <c r="F10" s="194"/>
    </row>
    <row r="12">
      <c r="A12" s="172" t="s">
        <v>382</v>
      </c>
    </row>
    <row r="13">
      <c r="A13" s="179" t="s">
        <v>383</v>
      </c>
    </row>
    <row r="14">
      <c r="A14" s="179" t="s">
        <v>438</v>
      </c>
    </row>
    <row r="15">
      <c r="A15" s="179" t="s">
        <v>439</v>
      </c>
    </row>
    <row r="16">
      <c r="A16" s="179" t="s">
        <v>440</v>
      </c>
    </row>
    <row r="17">
      <c r="A17" s="179" t="s">
        <v>389</v>
      </c>
    </row>
    <row r="18">
      <c r="A18" s="179" t="s">
        <v>390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3" t="s">
        <v>100</v>
      </c>
      <c r="B1" s="159" t="s">
        <v>149</v>
      </c>
      <c r="C1" s="159" t="s">
        <v>150</v>
      </c>
      <c r="D1" s="159" t="s">
        <v>151</v>
      </c>
      <c r="E1" s="159" t="s">
        <v>152</v>
      </c>
      <c r="F1" s="159" t="s">
        <v>153</v>
      </c>
    </row>
    <row r="10">
      <c r="A10" s="160" t="s">
        <v>154</v>
      </c>
    </row>
    <row r="12">
      <c r="A12" s="172" t="s">
        <v>382</v>
      </c>
    </row>
    <row r="13">
      <c r="A13" s="179" t="s">
        <v>383</v>
      </c>
    </row>
    <row r="14">
      <c r="A14" s="179" t="s">
        <v>438</v>
      </c>
    </row>
    <row r="15">
      <c r="A15" s="179" t="s">
        <v>439</v>
      </c>
    </row>
    <row r="16">
      <c r="A16" s="179" t="s">
        <v>440</v>
      </c>
    </row>
    <row r="17">
      <c r="A17" s="179" t="s">
        <v>389</v>
      </c>
    </row>
    <row r="18">
      <c r="A18" s="179" t="s">
        <v>390</v>
      </c>
    </row>
  </sheetData>
  <drawing r:id="rId1"/>
</worksheet>
</file>